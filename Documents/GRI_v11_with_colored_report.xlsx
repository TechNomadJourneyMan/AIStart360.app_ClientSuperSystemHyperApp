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RI_v8" sheetId="1" r:id="rId4"/>
    <sheet state="visible" name="GRI_v8_2" sheetId="2" r:id="rId5"/>
    <sheet state="visible" name="AutoReport_2" sheetId="3" r:id="rId6"/>
    <sheet state="visible" name="GRI_2 (для примера, так надо сд" sheetId="4" r:id="rId7"/>
    <sheet state="visible" name="ALL_SCORES" sheetId="5" r:id="rId8"/>
    <sheet state="visible" name="GRI_full" sheetId="6" r:id="rId9"/>
    <sheet state="visible" name="TOP_5_LIMITS" sheetId="7" r:id="rId10"/>
    <sheet state="visible" name="ACTION_PLAN_90_DAYS" sheetId="8" r:id="rId11"/>
    <sheet state="hidden" name="AutoReport" sheetId="9" r:id="rId12"/>
  </sheets>
  <definedNames/>
  <calcPr/>
  <extLst>
    <ext uri="GoogleSheetsCustomDataVersion2">
      <go:sheetsCustomData xmlns:go="http://customooxmlschemas.google.com/" r:id="rId13" roundtripDataChecksum="12j4QW+vBFiP54p/3UmmfBE7g4JByliXtbJ9qFukcGc="/>
    </ext>
  </extLst>
</workbook>
</file>

<file path=xl/sharedStrings.xml><?xml version="1.0" encoding="utf-8"?>
<sst xmlns="http://schemas.openxmlformats.org/spreadsheetml/2006/main" count="1156" uniqueCount="654">
  <si>
    <t>Section</t>
  </si>
  <si>
    <t>Criterion</t>
  </si>
  <si>
    <t>Score (1-10)</t>
  </si>
  <si>
    <t>Product &amp; Demand</t>
  </si>
  <si>
    <t>Критичность боли</t>
  </si>
  <si>
    <t>Что клиент теряет каждый месяц, если не решит проблему? Насколько он эту критичность осознает</t>
  </si>
  <si>
    <t>Стиль поиска решения</t>
  </si>
  <si>
    <t>Потенциал высокого чека</t>
  </si>
  <si>
    <t>Потенциал повторных покупок</t>
  </si>
  <si>
    <t>Потенциал платёжеспособного сегмента</t>
  </si>
  <si>
    <t>Trust &amp; Positioning</t>
  </si>
  <si>
    <t>Доверие с первого контакта</t>
  </si>
  <si>
    <t>Доказательства результата</t>
  </si>
  <si>
    <t>Социальное доказательство</t>
  </si>
  <si>
    <t>Понятность вашего решения</t>
  </si>
  <si>
    <t>Достаточность информации о Вас в сети</t>
  </si>
  <si>
    <t>Отстройка от конкурентов</t>
  </si>
  <si>
    <t>Business Model</t>
  </si>
  <si>
    <t>Подписочная модель</t>
  </si>
  <si>
    <t>Дополнительные продажи (апселлы)</t>
  </si>
  <si>
    <t>Партнёрские каналы</t>
  </si>
  <si>
    <t>Географическое масштабирование</t>
  </si>
  <si>
    <t>Эффективность стоимости привлечения</t>
  </si>
  <si>
    <t>Cash Stability</t>
  </si>
  <si>
    <t>Возможность внедрить депозит</t>
  </si>
  <si>
    <t>Рассрочка / кредитование</t>
  </si>
  <si>
    <t>Окупаемость стоимости привлечения</t>
  </si>
  <si>
    <t>Operations</t>
  </si>
  <si>
    <t>Повторяемость процесса</t>
  </si>
  <si>
    <t>Стандарты выполнения</t>
  </si>
  <si>
    <t>Готовые модули для тиражирования</t>
  </si>
  <si>
    <t>Риски при масштабировании / для партнёров</t>
  </si>
  <si>
    <t>Метрики результата команды</t>
  </si>
  <si>
    <t>Предсказуемость результата</t>
  </si>
  <si>
    <t>Контроль качества</t>
  </si>
  <si>
    <t>Team</t>
  </si>
  <si>
    <t>Укомплектованность под $2M</t>
  </si>
  <si>
    <t>Цифровизация</t>
  </si>
  <si>
    <t>Культура изменений</t>
  </si>
  <si>
    <t>Прописанные ЦКП и чек-листы</t>
  </si>
  <si>
    <t>Исполнительная дисциплина</t>
  </si>
  <si>
    <t>Оценка руководителей</t>
  </si>
  <si>
    <t>Состав GTM-команды</t>
  </si>
  <si>
    <t>Система найма</t>
  </si>
  <si>
    <t>Адаптация сотрудников</t>
  </si>
  <si>
    <t>Удержание сотрудников</t>
  </si>
  <si>
    <t>Конкурентные зарплаты</t>
  </si>
  <si>
    <t>Founder Readiness</t>
  </si>
  <si>
    <t>Нагрузка на собственника</t>
  </si>
  <si>
    <t>Скорость принятия решений</t>
  </si>
  <si>
    <t>Готовность к изменениям. Дисциплина</t>
  </si>
  <si>
    <t>Финансовая готовность</t>
  </si>
  <si>
    <t>Стрессоустойчивость</t>
  </si>
  <si>
    <t>Последовательность действий</t>
  </si>
  <si>
    <t>Умеет читать отчеты, задавать вопросы</t>
  </si>
  <si>
    <t>Зрелость мышления</t>
  </si>
  <si>
    <t>Опыт управления 2М$ и более</t>
  </si>
  <si>
    <t>Уровень цифровизации</t>
  </si>
  <si>
    <t>Возможность внедрить депозит (предоплату)</t>
  </si>
  <si>
    <t>Возможность внедрить рассрочку / кредитование</t>
  </si>
  <si>
    <t>Окупаемость стоимости привлечения (CAC Payback)</t>
  </si>
  <si>
    <t>Влияние депозита / рассрочки на LTV</t>
  </si>
  <si>
    <t>Прозрачность финансового потока</t>
  </si>
  <si>
    <t>Скорость оборота денег</t>
  </si>
  <si>
    <t>Финансовая устойчивость модели</t>
  </si>
  <si>
    <t>Автоматический отчет GRI</t>
  </si>
  <si>
    <t>Блок</t>
  </si>
  <si>
    <t>Средний балл (0–10)</t>
  </si>
  <si>
    <t>Краткая интерпретация</t>
  </si>
  <si>
    <t>Итоговый GRI</t>
  </si>
  <si>
    <t>Интерпретация результата</t>
  </si>
  <si>
    <t>Рекомендации на ближайшие 30 дней</t>
  </si>
  <si>
    <t>- Определить 2–3 самых слабых блока по GRI и сфокусировать усилия на них.</t>
  </si>
  <si>
    <t>- Перепроверить продуктовую ценность и воронку: лид → диалог → предложение → сделка.</t>
  </si>
  <si>
    <t>- Настроить базовый набор метрик: лиды, конверсия, выручка, стоимость привлечения.</t>
  </si>
  <si>
    <t>- Перераспределить нагрузку с собственника на команду через роли, ЦКП и регламенты.</t>
  </si>
  <si>
    <t>- Подготовить и запустить пилотный период 21–30 дней с чёткими целями по деньгам и метрикам.</t>
  </si>
  <si>
    <t>Потенциал выхода на $2M за 12–18 месяцев</t>
  </si>
  <si>
    <t>Анализ проведён</t>
  </si>
  <si>
    <t>Марина Рахимжанова</t>
  </si>
  <si>
    <t>Что измеряем</t>
  </si>
  <si>
    <t>Оцените уровень</t>
  </si>
  <si>
    <t>Оценка ответа</t>
  </si>
  <si>
    <t>Ответы</t>
  </si>
  <si>
    <t>Что нужно добавить</t>
  </si>
  <si>
    <t>Что бизнес теряет при низкой оценке</t>
  </si>
  <si>
    <t>Насколько клиент ощущает проблему как срочную, опасную или дорогостоящую</t>
  </si>
  <si>
    <t>Уровень 1–3</t>
  </si>
  <si>
    <t>Клиент не считает проблему серьёзной. Верит, что «само рассосётся».</t>
  </si>
  <si>
    <t>Диагностика последствий, формулировки боли, подкреплённые цифрами</t>
  </si>
  <si>
    <t>Длинный цикл сделки ×2–×4, низкий чек, слабый спрос</t>
  </si>
  <si>
    <t>Уровень 4–7</t>
  </si>
  <si>
    <t>Клиент понимает проблему, но откладывает решение, выбирает «подешевле».</t>
  </si>
  <si>
    <t>Уровень 8–10</t>
  </si>
  <si>
    <t>Клиент ощущает проблему как критичную (9–10), хочет решить сейчас, а не «когда-нибудь».</t>
  </si>
  <si>
    <t>Потери клиента</t>
  </si>
  <si>
    <t>Деньги, время, риски, которые клиент теряет ежемесячно</t>
  </si>
  <si>
    <t>Потери не осознаются, считаются «нормой рынка».</t>
  </si>
  <si>
    <t>Оцифровать потери, усилить последствиями</t>
  </si>
  <si>
    <t>Клиент не покупает — отсутствие мотивации, низкая ценность</t>
  </si>
  <si>
    <t>Клиент знает о потерях, но не считает их критичными.</t>
  </si>
  <si>
    <t>Клиент ясно понимает: теряет 10–30% потенциала/выручки каждый месяц.</t>
  </si>
  <si>
    <t>Осознанность проблемы</t>
  </si>
  <si>
    <t>Понимает ли клиент, почему у него эта проблема</t>
  </si>
  <si>
    <t>«Так сложилось», виноваты рынок, команда, клиенты.</t>
  </si>
  <si>
    <t>Диагностические вопросы, объяснение причин</t>
  </si>
  <si>
    <t>Клиент винит обстоятельства → не покупает решения системного уровня</t>
  </si>
  <si>
    <t>Понимает часть причин, но не видит целостной картины.</t>
  </si>
  <si>
    <t>Понимает 80–100% причин и готов менять систему, а не латать симптомы.</t>
  </si>
  <si>
    <t>Активность поиска</t>
  </si>
  <si>
    <t>Насколько активно клиент ищет решение</t>
  </si>
  <si>
    <t>Не ищет, откладывает, живёт в режиме ожидания.</t>
  </si>
  <si>
    <t>Сформировать осознание боли 9–10, показать риск упущенной выгоды</t>
  </si>
  <si>
    <t>Медленный цикл сделки; падение спроса до 50%</t>
  </si>
  <si>
    <t>Иногда мониторит варианты, сравнивает, но без действия.</t>
  </si>
  <si>
    <t>Активно ищет, сравнивает, готов платить за результат.</t>
  </si>
  <si>
    <t>Готовность клиента платить больше за качественное решение</t>
  </si>
  <si>
    <t>Чек низкий, рынок чувствителен к цене.</t>
  </si>
  <si>
    <t>Упаковка ценности, премиум-опции</t>
  </si>
  <si>
    <t>Потолок выручки падает ×2–×10</t>
  </si>
  <si>
    <t>Чек можно поднять, но нужны доказательства.</t>
  </si>
  <si>
    <t>Чек можно увеличить ×2–×5 при той же аудитории.</t>
  </si>
  <si>
    <t>Повторные покупки</t>
  </si>
  <si>
    <t>Как часто клиент возвращается</t>
  </si>
  <si>
    <t>Одноразовая покупка.</t>
  </si>
  <si>
    <t>Модель подписки/репокупок</t>
  </si>
  <si>
    <t>Рост невозможен без повторяемости, высокая стоимость привлечения</t>
  </si>
  <si>
    <t>Часть клиентов возвращается.</t>
  </si>
  <si>
    <t>Клиент возвращается регулярно, LTV прогнозируем.</t>
  </si>
  <si>
    <t>Апселлы и кросселлы</t>
  </si>
  <si>
    <t>Сколько ещё клиент может купить</t>
  </si>
  <si>
    <t>Нет доп. продуктов.</t>
  </si>
  <si>
    <t>Создать продуктовую матрицу</t>
  </si>
  <si>
    <t>Потеря LTV, невозможность масштабирования прибыльно</t>
  </si>
  <si>
    <t>Есть 1–2 доп. позиции.</t>
  </si>
  <si>
    <t>Есть линейка, рост чека ×2–×4.</t>
  </si>
  <si>
    <t>Платёжеспособный сегмент</t>
  </si>
  <si>
    <t>Платит ли уже рынок за такие решения</t>
  </si>
  <si>
    <t>Рынок не платит.</t>
  </si>
  <si>
    <t>Сегментация, поиск ICP</t>
  </si>
  <si>
    <t>Если сегмент бедный — рост невозможен</t>
  </si>
  <si>
    <t>Платит частично, бюджеты ограничены.</t>
  </si>
  <si>
    <t>Рынок активно платит, бюджеты заложены.</t>
  </si>
  <si>
    <t>Динамика рынка</t>
  </si>
  <si>
    <t>Рынок растёт или сужается</t>
  </si>
  <si>
    <t>Падающий рынок.</t>
  </si>
  <si>
    <t>Анализ трендов, данные рынка</t>
  </si>
  <si>
    <t>Падающий рынок → нулевой потенциал для 2 млрд</t>
  </si>
  <si>
    <t>Стабильный рынок.</t>
  </si>
  <si>
    <t>Быстрорастущий рынок (×3–×5 за 3–5 лет).</t>
  </si>
  <si>
    <t>Быстрота решения о покупке</t>
  </si>
  <si>
    <t>Насколько быстро сегмент принимает решения</t>
  </si>
  <si>
    <t>Думают долго, откладывают.</t>
  </si>
  <si>
    <t>Уточнить ICP, сузить сегмент</t>
  </si>
  <si>
    <t>Цикл сделки ×2–×5 дольше</t>
  </si>
  <si>
    <t>Размышляют, но с интересом.</t>
  </si>
  <si>
    <t>Покупают за 24–72 часа.</t>
  </si>
  <si>
    <t>Уровень доверия к решению с первого контакта</t>
  </si>
  <si>
    <t>Насколько клиент верит, что вы решите проблему</t>
  </si>
  <si>
    <t>Недоверие, много сомнений.</t>
  </si>
  <si>
    <t>Кейс-стори, доказательства, соцдоказательства</t>
  </si>
  <si>
    <t>Снижение конверсии на 30–70%, длинный цикл сделки</t>
  </si>
  <si>
    <t>Частично доверяет.</t>
  </si>
  <si>
    <t>Уверен, что вы лучшее решение на рынке.</t>
  </si>
  <si>
    <t>Насколько быстро клиент чувствует уверенность в компании</t>
  </si>
  <si>
    <t>Сомнения, ощущение неопределённости</t>
  </si>
  <si>
    <t>Есть базовое доверие, но много вопросов</t>
  </si>
  <si>
    <t>Полное ощущение безопасности и надёжности</t>
  </si>
  <si>
    <t>Доказательства качества и результата (Proofs)</t>
  </si>
  <si>
    <t>Наличие кейсов, примеров, результатов</t>
  </si>
  <si>
    <t>Кейс отсутствуют или слабые</t>
  </si>
  <si>
    <t>Собирать кейсы, оформлять результаты, «до-после»</t>
  </si>
  <si>
    <t>До 50% клиентов не доходят до покупки из-за сомнений</t>
  </si>
  <si>
    <t>Есть кейсы, но не системные</t>
  </si>
  <si>
    <t>Сильные, структурные кейсы, цифры, стабильные результаты</t>
  </si>
  <si>
    <t>Социальное доказательство (Social Proof)</t>
  </si>
  <si>
    <t>Отзывы, рекомендации, публичные упоминания</t>
  </si>
  <si>
    <t>Нет отзывов, нет подтверждений</t>
  </si>
  <si>
    <t>Собирать отзывы, публиковать социальные сигналы</t>
  </si>
  <si>
    <t>Потеря 40–70% доверия, особенно при высоком чеке</t>
  </si>
  <si>
    <t>Есть, но мало и не оформлено</t>
  </si>
  <si>
    <t>Много отзывов, видео, рекомендации, упоминания</t>
  </si>
  <si>
    <t>Понятность решения (Clarity of Value)</t>
  </si>
  <si>
    <t>Понимает ли клиент, что вы делаете и как это улучшит его жизнь</t>
  </si>
  <si>
    <t>Не понимает, что вы продаёте</t>
  </si>
  <si>
    <t>Ценностное предложение, чёткие формулировки, примеры</t>
  </si>
  <si>
    <t>До 80% клиентов не покупают то, что не понимают</t>
  </si>
  <si>
    <t>Понимает частично</t>
  </si>
  <si>
    <t>Понимает сразу, без вопросов</t>
  </si>
  <si>
    <t xml:space="preserve"> Доступность информации о Вас </t>
  </si>
  <si>
    <t>Насколько легко найти информацию о компании</t>
  </si>
  <si>
    <t>Ничего не понятно, мало информации</t>
  </si>
  <si>
    <t>Сайты, профили, кейсы, публичность</t>
  </si>
  <si>
    <t>Недоверие → потеря до 50% конверсии</t>
  </si>
  <si>
    <t>Информация есть, но не структурирована</t>
  </si>
  <si>
    <t>Понятно кто вы, что делаете, кто клиенты, какие результаты</t>
  </si>
  <si>
    <t>Экспертность (Perceived Expertise)</t>
  </si>
  <si>
    <t>Понимает ли клиент, почему именно вы решите проблему лучше всех</t>
  </si>
  <si>
    <t>Экспертность неочевидна</t>
  </si>
  <si>
    <t>Контент, объяснения, аналитика, демонстрация логики</t>
  </si>
  <si>
    <t>Потеря 30–50% клиентов, переход к конкурентам</t>
  </si>
  <si>
    <t>Клиент видит компетентность, но не уверен</t>
  </si>
  <si>
    <t>Очевидно, что вы — лучший выбор</t>
  </si>
  <si>
    <t>Отстройка от конкурентов (Differentiation)</t>
  </si>
  <si>
    <t>Насколько вы отличаетесь от других в глазах клиента</t>
  </si>
  <si>
    <t>Клиент не видит разницы → покупает по цене</t>
  </si>
  <si>
    <t>УТП, уникальные механики, фреймворки</t>
  </si>
  <si>
    <t>Если нет различий → маржа падает ×2–×5, рост замедляется</t>
  </si>
  <si>
    <t>Клиент видит различия, но не считает их критичными</t>
  </si>
  <si>
    <t>Клиент понимает преимущества и выбирает вас</t>
  </si>
  <si>
    <t>Причина выбора (Why you?)</t>
  </si>
  <si>
    <t>Почему клиент должен выбрать именно вас</t>
  </si>
  <si>
    <t>Клиент не может сформулировать «почему вы»</t>
  </si>
  <si>
    <t>Ценностная формула, доказательства, позиционирование</t>
  </si>
  <si>
    <t>Клиенты уходят к тем, у кого «сильнее история»</t>
  </si>
  <si>
    <t>Есть причины, но слабые</t>
  </si>
  <si>
    <t>Причина очевидна и сильная</t>
  </si>
  <si>
    <t>Последовательность позиционирования (Consistency)</t>
  </si>
  <si>
    <t>Насколько ваши сообщения стабильны</t>
  </si>
  <si>
    <t>Сообщения разрозненные</t>
  </si>
  <si>
    <t>Стратегия коммуникаций</t>
  </si>
  <si>
    <t>Недоверие, ощущение непрофессиональности</t>
  </si>
  <si>
    <t>В целом последовательны, но есть шум</t>
  </si>
  <si>
    <t>Единый тон, единая структура, единая логика</t>
  </si>
  <si>
    <t>Эмоциональная привлекательность</t>
  </si>
  <si>
    <t>Насколько клиент хочет работать именно с вами</t>
  </si>
  <si>
    <t>Нет эмоции, «серый бренд»</t>
  </si>
  <si>
    <t>Сторителлинг, бренд-архетип, пример трансформаций</t>
  </si>
  <si>
    <t>Без эмоции покупают реже, задержка решений ×2–×3</t>
  </si>
  <si>
    <t>Умеренный интерес</t>
  </si>
  <si>
    <t>Сильный интерес, желание выбрать вас</t>
  </si>
  <si>
    <t>Ясность результата</t>
  </si>
  <si>
    <t>Клиент понимает, какой результат он получит</t>
  </si>
  <si>
    <t>Не понимает, «туман»</t>
  </si>
  <si>
    <t>Описание результатов «до-после», примеры, графики</t>
  </si>
  <si>
    <t>Нет ясности → клиент не покупает → конверсия падает до 20–30%</t>
  </si>
  <si>
    <t>Частично понимает</t>
  </si>
  <si>
    <t>Полная ясность — ожидаемый результат → шаги → сроки</t>
  </si>
  <si>
    <t>Критерий</t>
  </si>
  <si>
    <t>Балл</t>
  </si>
  <si>
    <t>Ранг</t>
  </si>
  <si>
    <t>Deposit/Credit</t>
  </si>
  <si>
    <t>Оценка</t>
  </si>
  <si>
    <t>1. Критичность боли</t>
  </si>
  <si>
    <t>Клиент не считает проблему серьёзной, можно «потерпеть»</t>
  </si>
  <si>
    <t>Клиент понимает проблему, но откладывает решение</t>
  </si>
  <si>
    <t>Клиент ощущает проблему как критическую (9–10), хочет решить сейчас</t>
  </si>
  <si>
    <t>2. Потери клиента</t>
  </si>
  <si>
    <t>Уровень 1–4</t>
  </si>
  <si>
    <t>Потери не осознаются</t>
  </si>
  <si>
    <t>Уровень 4–8</t>
  </si>
  <si>
    <t>Клиент знает о потерях, но не считает их критичными</t>
  </si>
  <si>
    <t>Уровень 8–11</t>
  </si>
  <si>
    <t>Клиент понимает, что каждый месяц теряет 10–30% потенциала/выручки</t>
  </si>
  <si>
    <t>3. Осознанность проблемы</t>
  </si>
  <si>
    <t>Уровень 1–5</t>
  </si>
  <si>
    <t>Клиент считает, что «просто так вышло»</t>
  </si>
  <si>
    <t>Уровень 4–9</t>
  </si>
  <si>
    <t>Понимает часть причин</t>
  </si>
  <si>
    <t>Уровень 8–12</t>
  </si>
  <si>
    <t>Понимает 80–100% причин и готов менять систему</t>
  </si>
  <si>
    <t>4. Активность поиска</t>
  </si>
  <si>
    <t>Уровень 1–6</t>
  </si>
  <si>
    <t>Клиент не ищет решения, откладывает</t>
  </si>
  <si>
    <t>Уровень 4–10</t>
  </si>
  <si>
    <t>Иногда мониторит варианты</t>
  </si>
  <si>
    <t>Уровень 8–13</t>
  </si>
  <si>
    <t>Активно ищет, сравнивает, готов платить</t>
  </si>
  <si>
    <t>5. Потенциал высокого чека</t>
  </si>
  <si>
    <t>Уровень 1–7</t>
  </si>
  <si>
    <t>Чек низкий, рынок чувствителен к цене</t>
  </si>
  <si>
    <t>Уровень 4–11</t>
  </si>
  <si>
    <t>Есть возможность повысить, но нужны доказательства</t>
  </si>
  <si>
    <t>Уровень 8–14</t>
  </si>
  <si>
    <t>Чек можно увеличить ×2–×5 при той же аудитории</t>
  </si>
  <si>
    <t>6. Повторные покупки</t>
  </si>
  <si>
    <t>Уровень 1–8</t>
  </si>
  <si>
    <t>Одноразовая покупка</t>
  </si>
  <si>
    <t>Уровень 4–12</t>
  </si>
  <si>
    <t>Часть клиентов возвращается</t>
  </si>
  <si>
    <t>Уровень 8–15</t>
  </si>
  <si>
    <t>Клиент возвращается регулярно, LTV предсказуем</t>
  </si>
  <si>
    <t>7. Апселлы и кросселлы</t>
  </si>
  <si>
    <t>Уровень 1–9</t>
  </si>
  <si>
    <t>Нет дополнительных продуктов</t>
  </si>
  <si>
    <t>Уровень 4–13</t>
  </si>
  <si>
    <t>Есть 1–2 позиции</t>
  </si>
  <si>
    <t>Уровень 8–16</t>
  </si>
  <si>
    <t>Есть линейка, позволяющая увеличить чек ×2–×4</t>
  </si>
  <si>
    <t>8. Платёжеспособный сегмент</t>
  </si>
  <si>
    <t>Платит ли рынок за такие решения</t>
  </si>
  <si>
    <t>Уровень 1–10</t>
  </si>
  <si>
    <t>Рынок не платит</t>
  </si>
  <si>
    <t>Платит частично</t>
  </si>
  <si>
    <t>Рынок активно платит, есть бюджеты</t>
  </si>
  <si>
    <t>Уровень 4–14</t>
  </si>
  <si>
    <t>Уровень 8–17</t>
  </si>
  <si>
    <t>9. Динамика рынка</t>
  </si>
  <si>
    <t>Уровень 1–11</t>
  </si>
  <si>
    <t>Падающий рынок</t>
  </si>
  <si>
    <t>Стабильный</t>
  </si>
  <si>
    <t>Быстрорастущий (рост ×10 в 3–5 лет)</t>
  </si>
  <si>
    <t>Уровень 4–15</t>
  </si>
  <si>
    <t>Уровень 8–18</t>
  </si>
  <si>
    <t>10. Быстрота решения о покупке</t>
  </si>
  <si>
    <t>Уровень 1–12</t>
  </si>
  <si>
    <t>Берут долго, много размышляют</t>
  </si>
  <si>
    <t>Размышляют, но с интересом</t>
  </si>
  <si>
    <t>Платят быстро — за 24–72 часа</t>
  </si>
  <si>
    <t>Уровень 4–16</t>
  </si>
  <si>
    <t>Уровень 8–19</t>
  </si>
  <si>
    <t>11. Уровень доверия к решению с первого контакта</t>
  </si>
  <si>
    <t>Недоверие, много сомнений</t>
  </si>
  <si>
    <t>Частично доверяет</t>
  </si>
  <si>
    <t>Уверен, что вы — лучшее решение на рынке</t>
  </si>
  <si>
    <t>1. Доверие с первого контакта</t>
  </si>
  <si>
    <t>Чёткое позиционирование, профессиональный визуал, структурная подача</t>
  </si>
  <si>
    <t>Конверсия падает на 30–60%, цикл сделки удлиняется ×2–×4</t>
  </si>
  <si>
    <t>2. Доказательства качества и результата (Proofs)</t>
  </si>
  <si>
    <t>3. Социальное доказательство (Social Proof)</t>
  </si>
  <si>
    <t>4. Понятность решения (Clarity of Value)</t>
  </si>
  <si>
    <t xml:space="preserve">5. Доступность информации о Вас </t>
  </si>
  <si>
    <t>6. Экспертность (Perceived Expertise)</t>
  </si>
  <si>
    <t>7. Отстройка от конкурентов (Differentiation)</t>
  </si>
  <si>
    <t>8. Причина выбора (Why you?)</t>
  </si>
  <si>
    <t>9. Последовательность позиционирования (Consistency)</t>
  </si>
  <si>
    <t>10. Эмоциональная привлекательность</t>
  </si>
  <si>
    <t>11. Ясность результата</t>
  </si>
  <si>
    <t>1. Подписочная модель (Subscription)</t>
  </si>
  <si>
    <t>Можно ли превратить продукт в регулярную оплату</t>
  </si>
  <si>
    <t>Продукт одноразовый, клиент покупает 1 раз</t>
  </si>
  <si>
    <t>Есть частичная повторяемость, но не системная</t>
  </si>
  <si>
    <t>Есть подписка, прогнозируемый денежный поток</t>
  </si>
  <si>
    <t>Создать подписку, регулярный продукт, формат удержания</t>
  </si>
  <si>
    <t>Денежный поток нестабилен, рост не прогнозируем, LTV низкий</t>
  </si>
  <si>
    <t>2. Дополнительные продажи (Upsells)</t>
  </si>
  <si>
    <t>Есть ли продукты, которые увеличивают средний чек</t>
  </si>
  <si>
    <t>Нет апселов, клиент покупает только базу</t>
  </si>
  <si>
    <t>Есть 1–2 апсела, но слабая структура</t>
  </si>
  <si>
    <t>Сильная система апселов: премиумы, пакеты, доп. услуги</t>
  </si>
  <si>
    <t>Разработать линейку апселов и правила их предложения</t>
  </si>
  <si>
    <t>Потеря 30–70% выручки, низкий LTV, замедление роста</t>
  </si>
  <si>
    <t>3. Партнёрские каналы (Partnerships)</t>
  </si>
  <si>
    <t>Насколько активно другие приводят вам клиентов</t>
  </si>
  <si>
    <t>Партнёрств нет</t>
  </si>
  <si>
    <t>Есть 1–2 партнёра, но без системы</t>
  </si>
  <si>
    <t>Структурная сеть 10–50 партнёров</t>
  </si>
  <si>
    <t>Прописать партнёрскую программу, мотивацию, воронку</t>
  </si>
  <si>
    <t>Рост только за счёт рекламы → дорогой CAC, низкая скорость</t>
  </si>
  <si>
    <t>4. Географическое масштабирование</t>
  </si>
  <si>
    <t>Можно ли продавать продукт в других городах/странах</t>
  </si>
  <si>
    <t>Продукт работает только локально</t>
  </si>
  <si>
    <t>Требуются доработки под другие города</t>
  </si>
  <si>
    <t>Продукт масштабируется без изменений</t>
  </si>
  <si>
    <t>Стандартизировать сервис, упаковку, процессы</t>
  </si>
  <si>
    <t>Потеря x10 рынка, высокая стоимость роста</t>
  </si>
  <si>
    <t>5. Эффективность стоимости привлечения (CAC Efficiency)</t>
  </si>
  <si>
    <t>Насколько эффективно и дёшево привлекаются клиенты</t>
  </si>
  <si>
    <t>CAC высокий, продукт почти не масштабируется</t>
  </si>
  <si>
    <t>CAC умеренный, возможен рост</t>
  </si>
  <si>
    <t>CAC низкий или окупается в день покупки</t>
  </si>
  <si>
    <t>Улучшить конверсию, воронку, таргетинг, оффер</t>
  </si>
  <si>
    <t>Привлечение становится дорогим → минус прибыль, рост стопорится</t>
  </si>
  <si>
    <t>6. Масштабируемость без увеличения штата</t>
  </si>
  <si>
    <t>Как сильно рост зависит от людей</t>
  </si>
  <si>
    <t>Рост возможен только при увеличении команды</t>
  </si>
  <si>
    <t>Частичная автоматизация</t>
  </si>
  <si>
    <t>Процессы масштабируются без увеличения штата</t>
  </si>
  <si>
    <t>Автоматизация, CRM, регламенты, обучение</t>
  </si>
  <si>
    <t>Фонд оплаты труда растёт быстрее выручки</t>
  </si>
  <si>
    <t>7. Юнит-экономика</t>
  </si>
  <si>
    <t>Понимаете ли вы прибыль с одного клиента</t>
  </si>
  <si>
    <t>Юнит-экономика не считается</t>
  </si>
  <si>
    <t>Считается частично, нет системы</t>
  </si>
  <si>
    <t>Полная юнит-экономика: маржинальность, CAC, LTV, ROMI</t>
  </si>
  <si>
    <t>Внедрить фин-модель, отчёты, прогнозы</t>
  </si>
  <si>
    <t>Убытки незаметны → продукт нерентабелен</t>
  </si>
  <si>
    <t>8. Скорость оборота денег</t>
  </si>
  <si>
    <t>Как быстро компания превращает заявки в деньги</t>
  </si>
  <si>
    <t>Деньги приходят медленно, задержки</t>
  </si>
  <si>
    <t>Средняя скорость, но без системы ускорения</t>
  </si>
  <si>
    <t>Быстрый денежный поток, короткий цикл сделки</t>
  </si>
  <si>
    <t>Сократить цикл сделки, внедрить предоплату</t>
  </si>
  <si>
    <t>Денежные разрывы, остановка роста</t>
  </si>
  <si>
    <t>9. Возможность продавать премиальные уровни</t>
  </si>
  <si>
    <t>Можно ли продавать продукт ×3 дороже</t>
  </si>
  <si>
    <t>Нет премиум-версии</t>
  </si>
  <si>
    <t>Есть попытки продавать, слабый спрос</t>
  </si>
  <si>
    <t>Премиум-продукт стабильно покупают</t>
  </si>
  <si>
    <t>Создать премиум-пакет, усиливающий ценность</t>
  </si>
  <si>
    <t>Потеря 20–200% выручки, низкая маржа</t>
  </si>
  <si>
    <t>10. Масштабируемость инфраструктуры</t>
  </si>
  <si>
    <t>Выдерживает ли система рост ×5–×10</t>
  </si>
  <si>
    <t>Инструменты ломаются при росте</t>
  </si>
  <si>
    <t>Масштабируемость частичная</t>
  </si>
  <si>
    <t>Полностью масштабируемые инструменты</t>
  </si>
  <si>
    <t>Обновить CRM, серверы, системы, процессы</t>
  </si>
  <si>
    <t>Потеря клиентов при росте, падение качества</t>
  </si>
  <si>
    <t>1. Возможность внедрить депозит (предоплату)</t>
  </si>
  <si>
    <t>Можно ли брать деньги ДО оказания услуги / поставки продукта</t>
  </si>
  <si>
    <t>Оплата только постфактум. Клиенты платят после результата</t>
  </si>
  <si>
    <t>Частичная предоплата есть, но не обязательна и нестабильна</t>
  </si>
  <si>
    <t>Депозит 30–100% — стандарт сделки, клиенты платят заранее</t>
  </si>
  <si>
    <t>Депозитные пакеты, бонусы за предоплату, формула выгоды («приоритет / цена / доступ»)</t>
  </si>
  <si>
    <t>Потеря cashflow, рост только на деньги собственника, задержки 1–3 месяца</t>
  </si>
  <si>
    <t>2. Возможность внедрить рассрочку / кредитование</t>
  </si>
  <si>
    <t>Можно ли снизить барьер входа и увеличить конверсию</t>
  </si>
  <si>
    <t>Рассрочки нет, клиенту «дорого здесь и сейчас»</t>
  </si>
  <si>
    <t>Рассрочка есть, но предлагается нерегулярно</t>
  </si>
  <si>
    <t>Рассрочка встроена в продукт и используется в 30–60% сделок</t>
  </si>
  <si>
    <t>Интеграция с банками, внутренняя рассрочка, скрипты продаж</t>
  </si>
  <si>
    <t>Потеря 20–60% клиентов, падение среднего чека</t>
  </si>
  <si>
    <t>3. Окупаемость стоимости привлечения (CAC Payback)</t>
  </si>
  <si>
    <t>За сколько дней возвращаются деньги, вложенные в клиента</t>
  </si>
  <si>
    <t>CAC окупается через 2–6 месяцев</t>
  </si>
  <si>
    <t>CAC частично окупается в первый месяц</t>
  </si>
  <si>
    <t>CAC полностью окупается в день покупки / ≤30 дней</t>
  </si>
  <si>
    <t>Ускорение сделки, рост конверсии, увеличение доли предоплаты</t>
  </si>
  <si>
    <t>Привлечение становится дорогим → масштабирование невозможно</t>
  </si>
  <si>
    <t>4. Влияние депозита / рассрочки на LTV</t>
  </si>
  <si>
    <t>Увеличивают ли эти модели удержание и жизненную ценность</t>
  </si>
  <si>
    <t>Не влияют на LTV, клиент покупает 1 раз</t>
  </si>
  <si>
    <t>LTV растёт, но слабо и непредсказуемо</t>
  </si>
  <si>
    <t>Депозит + рассрочка увеличивают LTV ×2–×5</t>
  </si>
  <si>
    <t>Долгосрочные пакеты, подписка, апселлы</t>
  </si>
  <si>
    <t>Потеря 200–400% потенциальной выручки</t>
  </si>
  <si>
    <t>5. Прозрачность финансового потока</t>
  </si>
  <si>
    <t>Понимает ли бизнес, как и когда приходят деньги</t>
  </si>
  <si>
    <t>Денежный поток хаотичен, «по ощущениям»</t>
  </si>
  <si>
    <t>Есть частичное понимание, но нет прогнозов</t>
  </si>
  <si>
    <t>Финмодель показывает cashflow на 1–3 месяца вперёд</t>
  </si>
  <si>
    <t>Отчёты P&amp;L, Cash Flow, план-факт, недельный контроль</t>
  </si>
  <si>
    <t>Денежные разрывы, долги, рост на иллюзиях</t>
  </si>
  <si>
    <t>6. Скорость оборота денег</t>
  </si>
  <si>
    <t>Как быстро деньги поступают после заявки</t>
  </si>
  <si>
    <t>Деньги приходят через недели / месяцы</t>
  </si>
  <si>
    <t>Средняя скорость, зависит от менеджеров</t>
  </si>
  <si>
    <t>Деньги приходят в день заявки / консультации</t>
  </si>
  <si>
    <t>Оптимизация воронки, быстрые офферы, дедлайны</t>
  </si>
  <si>
    <t>Задержки денег → невозможно масштабировать трафик</t>
  </si>
  <si>
    <t>7. Финансовая устойчивость модели</t>
  </si>
  <si>
    <t>Может ли бизнес расти без кассовых разрывов</t>
  </si>
  <si>
    <t>Любой рост заявок создаёт дефицит денег</t>
  </si>
  <si>
    <t>Рост возможен, но стрессовый и рискованный</t>
  </si>
  <si>
    <t>Модель масштабируется безопасно, деньги всегда «впереди»</t>
  </si>
  <si>
    <t>Депозит, правильная цена, автоматизация, контроль метрик</t>
  </si>
  <si>
    <t>Рост «встаёт», бизнес постоянно тушит финансовые пожары</t>
  </si>
  <si>
    <t>Уровень 1-3</t>
  </si>
  <si>
    <t>Уровень 4-7</t>
  </si>
  <si>
    <t>Уровень 8-10</t>
  </si>
  <si>
    <t>1. Повторяемость процесса (Repeatability)</t>
  </si>
  <si>
    <t>Выполняется ли работа одинаково каждым сотрудником каждый раз</t>
  </si>
  <si>
    <t>Каждый делает по-своему, хаос, разные результаты</t>
  </si>
  <si>
    <t>Есть частично описанные шаги, но никто их не соблюдает</t>
  </si>
  <si>
    <t>Работа выполняется чётко по шагам, повторяемо на 95–100%</t>
  </si>
  <si>
    <t>Описать шаги процессов; чек-листы; инструкции; контроль исполнения</t>
  </si>
  <si>
    <t>−20–40% качества при росте; −10–25% маржи на исправления; до 30% клиентов уходят из-за нестабильности</t>
  </si>
  <si>
    <t>2. Стандарты выполнения (Standards)</t>
  </si>
  <si>
    <t>Есть ли стандарты работы, по которым можно судить о качестве</t>
  </si>
  <si>
    <t>Стандартов нет</t>
  </si>
  <si>
    <t>Стандарты есть, но не измеряются</t>
  </si>
  <si>
    <t>Стандарты внедрены, измеряются, обучены</t>
  </si>
  <si>
    <t>Ввести стандарты; создать систему контроля; обучить команду</t>
  </si>
  <si>
    <t>До 30% потерь у новых сотрудников; нагрузка на основателя ×2–×4; выгорание сильных сотрудников</t>
  </si>
  <si>
    <t>3. Готовые модули для тиражирования (Modules)</t>
  </si>
  <si>
    <t>Какие элементы готовы для масштабирования «как есть»</t>
  </si>
  <si>
    <t>Всё делается вручную</t>
  </si>
  <si>
    <t>Есть 1–2 готовых процесса</t>
  </si>
  <si>
    <t>Готовые модули: обучение, сервис, продажи, маркетинг, документация</t>
  </si>
  <si>
    <t>Создать обучающие модули, стандарты сервиса, пакет франшизы, процессы</t>
  </si>
  <si>
    <t>Новый филиал запускается 3–6 месяцев вместо 2 недель; +40–60% нагрузки на основателя; падение качества</t>
  </si>
  <si>
    <t>4. Риски для партнёров при тиражировании (Franchise/Partners Risk Control)</t>
  </si>
  <si>
    <t>Понимание и управление рисками при масштабировании через партнёров</t>
  </si>
  <si>
    <t>Риски не известны, не описаны</t>
  </si>
  <si>
    <t>Риски известны, но не управляются</t>
  </si>
  <si>
    <t>Контроль качества, обучение, стандарты, регулярные проверки</t>
  </si>
  <si>
    <t>Описать риски; создать стандарты; обучить партнёров; внедрить контроль качества</t>
  </si>
  <si>
    <t>До 50% партнёров работают плохо; репутационные потери −20–40% выручки; франшиза не продаётся</t>
  </si>
  <si>
    <t>5. Метрики результата команды (Team Metrics)</t>
  </si>
  <si>
    <t>Есть ли цифры, по которым понятно, работает ли команда</t>
  </si>
  <si>
    <t>Нет метрик, всё «по ощущениям»</t>
  </si>
  <si>
    <t>Метрики есть, но на управление не влияют</t>
  </si>
  <si>
    <t>Ежедневные/недельные KPI, привязанные к результатам</t>
  </si>
  <si>
    <t>Ввести KPI; создать отчётность; автоматизировать сбор данных</t>
  </si>
  <si>
    <t>Невозможно прогнозировать рост; сотрудники не понимают ответственность; собственник работает вместо системы</t>
  </si>
  <si>
    <t>6. Предсказуемость результата (Predictability)</t>
  </si>
  <si>
    <t>Может ли команда стабильно выдавать результат</t>
  </si>
  <si>
    <t>Сегодня получилось, завтра нет</t>
  </si>
  <si>
    <t>Есть стабильность, но зависит от людей</t>
  </si>
  <si>
    <t>Предсказуемость на уровне системы</t>
  </si>
  <si>
    <t>Систематизировать процессы; создать стандарты; внедрить контроль</t>
  </si>
  <si>
    <t>Скачки качества; срывы сроков; падение репутации; рост невозможен — хаос масштабировать нельзя</t>
  </si>
  <si>
    <t>7. Контроль качества (Quality Control)</t>
  </si>
  <si>
    <t>Есть ли процесс/человек, который следит за качеством</t>
  </si>
  <si>
    <t>Никто не контролирует качество</t>
  </si>
  <si>
    <t>Контроль есть, но нерегулярный</t>
  </si>
  <si>
    <t>Регулярные проверки по чек-листам, отчётам, CRM</t>
  </si>
  <si>
    <t>Назначить ответственного; создать чек-листы; внедрить контроль в CRM</t>
  </si>
  <si>
    <t>15–30% недовольных клиентов; повторные продажи не происходят; ×2 время на переделки; франшизу построить невозможно</t>
  </si>
  <si>
    <t>1. Укомплектованность команды под $2M</t>
  </si>
  <si>
    <t>Достаточно ли ролей и компетенций для обработки объёма продаж и задач при росте до $2M</t>
  </si>
  <si>
    <t>Все делает собственник, критические роли отсутствуют</t>
  </si>
  <si>
    <t>Часть ролей закрыта, но команда перегружена</t>
  </si>
  <si>
    <t>Команда закрывает 90% процессов без участия собственника</t>
  </si>
  <si>
    <t>Добавить GTM-лидера, маркетинг, продажи, аналитику, операционного менеджера</t>
  </si>
  <si>
    <t>Потеря 30–60% скорости роста, основатель «горит», масштабирование невозможно</t>
  </si>
  <si>
    <t>2. Цифровизация команды</t>
  </si>
  <si>
    <t>CRM, отчёты, автоматизация, трекинг задач</t>
  </si>
  <si>
    <t>Всё в WhatsApp/Excel</t>
  </si>
  <si>
    <t>Частично в CRM, нет системности</t>
  </si>
  <si>
    <t>CRM, отчёты, автоматизации, сквозная аналитика</t>
  </si>
  <si>
    <t>Внедрить CRM, отчётность, автоматизации</t>
  </si>
  <si>
    <t>Потеря 20–40% клиентов из-за хаоса данных</t>
  </si>
  <si>
    <t>3. Культура изменений</t>
  </si>
  <si>
    <t>Готовность команды адаптироваться, внедрять новое</t>
  </si>
  <si>
    <t>Сопротивление, саботаж</t>
  </si>
  <si>
    <t>Принимают изменения, но медленно</t>
  </si>
  <si>
    <t>Команда сама предлагает улучшения</t>
  </si>
  <si>
    <t>Ввести регулярные улучшения, ретроспективы, лидер изменений</t>
  </si>
  <si>
    <t>Рост замедляется ×2–×5, проекты срываются</t>
  </si>
  <si>
    <t>4. Прописанные ЦКП и чек-листы обязанностей</t>
  </si>
  <si>
    <t>Есть ли чёткие KPI и стандарты для каждой роли</t>
  </si>
  <si>
    <t>Никто не понимает, за что отвечает</t>
  </si>
  <si>
    <t>KPI есть, но не используются</t>
  </si>
  <si>
    <t>KPI соблюдаются, есть стандарты</t>
  </si>
  <si>
    <t>Создать ЦКП, стандартные операционные процедуры</t>
  </si>
  <si>
    <t>Просадки качества, хаос, потеря клиентов</t>
  </si>
  <si>
    <t>5. Исполнительная дисциплина</t>
  </si>
  <si>
    <t>Делает ли команда то, что запланировано</t>
  </si>
  <si>
    <t>«Забыли», «не успели», сорванные сроки</t>
  </si>
  <si>
    <t>Выполняют, но с напоминаниями</t>
  </si>
  <si>
    <t>Выполняют вовремя без контроля</t>
  </si>
  <si>
    <t>Ввести операционный контроль, ежедневные планёрки</t>
  </si>
  <si>
    <t>Провал воронки: −20–50% выручки</t>
  </si>
  <si>
    <t>6. Оценка руководителей</t>
  </si>
  <si>
    <t>Способность менеджеров принимать решения и вести рост</t>
  </si>
  <si>
    <t>Руководители тушат пожары</t>
  </si>
  <si>
    <t>Могут управлять, но без системности</t>
  </si>
  <si>
    <t>Способны вести рост и процессы</t>
  </si>
  <si>
    <t>Трек развития руководителей</t>
  </si>
  <si>
    <t>Замедление решений: −30–70% темпа роста</t>
  </si>
  <si>
    <t>7. GTM-команда (структура)</t>
  </si>
  <si>
    <t>Есть ли обязательные роли для роста до $2M</t>
  </si>
  <si>
    <t>Нет маркетинга/аналитики/продаж</t>
  </si>
  <si>
    <t>Роли есть, но перегружены</t>
  </si>
  <si>
    <t>Полный GTM: growth lead, маркетинг, SDR/BDM, аналитик, контент, операционный менеджер</t>
  </si>
  <si>
    <t>Найм недостающих ключевых ролей</t>
  </si>
  <si>
    <t>Слабые продажи, слабый маркетинг, нет масштабирования</t>
  </si>
  <si>
    <t>8. Система найма</t>
  </si>
  <si>
    <t>Как быстро и качественно появляются новые сотрудники</t>
  </si>
  <si>
    <t>Нанимают кого попало</t>
  </si>
  <si>
    <t>Есть процесс, но неэффективный</t>
  </si>
  <si>
    <t>Воронка кандидатов, тестовые задания, критерии</t>
  </si>
  <si>
    <t>Построить систему найма</t>
  </si>
  <si>
    <t>Задержки 1–3 месяца в ключевых ролях, основатель превращается в HR</t>
  </si>
  <si>
    <t>9. Адаптация сотрудников</t>
  </si>
  <si>
    <t>Насколько быстро новичок начинает работать</t>
  </si>
  <si>
    <t>1–2 месяца хаоса</t>
  </si>
  <si>
    <t>2–4 недели — медленный вход</t>
  </si>
  <si>
    <t>7–14 дней — рабочий ритм</t>
  </si>
  <si>
    <t>Ввести онбординг и чек-листы</t>
  </si>
  <si>
    <t>Потеря 1–3 окладов на каждого проваленного кандидата</t>
  </si>
  <si>
    <t>10. Удержание сотрудников</t>
  </si>
  <si>
    <t>Остаются ли ключевые люди на 12+ месяцев</t>
  </si>
  <si>
    <t>Высокая текучка</t>
  </si>
  <si>
    <t>Текучка средняя</t>
  </si>
  <si>
    <t>Сильное ядро, низкая текучесть</t>
  </si>
  <si>
    <t>Прозрачные роли, повышение, развитие</t>
  </si>
  <si>
    <t>Потеря компетенций: −30–60% скорости роста, стоимость найма ×1.5–×3</t>
  </si>
  <si>
    <t>11. Конкурентные зарплаты</t>
  </si>
  <si>
    <t>Можете ли вы нанять сильных людей</t>
  </si>
  <si>
    <t>Зарплаты ниже рынка на 30–50%</t>
  </si>
  <si>
    <t>Частично конкурентные</t>
  </si>
  <si>
    <t>Полностью рыночные / выше рынка</t>
  </si>
  <si>
    <t>Грейды, матрица оплат</t>
  </si>
  <si>
    <t>В команде — слабые кадры → низкая скорость, низкое качество</t>
  </si>
  <si>
    <t>Готовность собственника</t>
  </si>
  <si>
    <t>Что бизнес теряет</t>
  </si>
  <si>
    <t>1. Нагрузка на собственника</t>
  </si>
  <si>
    <t>Сколько процессов держится на нём</t>
  </si>
  <si>
    <t>Всё завязано на основателе</t>
  </si>
  <si>
    <t>Частично делегирует</t>
  </si>
  <si>
    <t>Делегировано 80–90%</t>
  </si>
  <si>
    <t>Делегирование, процессная структура</t>
  </si>
  <si>
    <t>Основатель = узкое горлышко, рост невозможен</t>
  </si>
  <si>
    <t>2. Скорость принятия решений</t>
  </si>
  <si>
    <t>Сколько времени занимает движение вперёд</t>
  </si>
  <si>
    <t>Каждый шаг тормозит</t>
  </si>
  <si>
    <t>Решения принимаются, но медленно</t>
  </si>
  <si>
    <t>Быстрые управленческие решения</t>
  </si>
  <si>
    <t>Убрать бюрократию, создать регламенты</t>
  </si>
  <si>
    <t>Потеря скорости ×2–×4</t>
  </si>
  <si>
    <t>3. Готовность к изменениям. Дисциплина</t>
  </si>
  <si>
    <t>Выполняет ли основатель то, что нужно делать</t>
  </si>
  <si>
    <t>Хаос, интуитивные решения</t>
  </si>
  <si>
    <t>Частичная дисциплина</t>
  </si>
  <si>
    <t>Чёткая система действий</t>
  </si>
  <si>
    <t>Планы, трекинг, контроль</t>
  </si>
  <si>
    <t>Невозможность масштабирования</t>
  </si>
  <si>
    <t>4. Финансовая готовность</t>
  </si>
  <si>
    <t>Может ли основатель инвестировать в рост</t>
  </si>
  <si>
    <t>Нет ресурсов</t>
  </si>
  <si>
    <t>Есть минимальный резерв</t>
  </si>
  <si>
    <t>Есть резерв на 6–12 месяцев</t>
  </si>
  <si>
    <t>Финансовое планирование</t>
  </si>
  <si>
    <t>Кассовые разрывы, остановка роста</t>
  </si>
  <si>
    <t>5. Стрессоустойчивость</t>
  </si>
  <si>
    <t>Как реагирует на неопределённость</t>
  </si>
  <si>
    <t>Эмоциональные решения</t>
  </si>
  <si>
    <t>Иногда срывается</t>
  </si>
  <si>
    <t>Управляет стрессом, опирается на данные</t>
  </si>
  <si>
    <t>Поддержка, менторинг</t>
  </si>
  <si>
    <t>Ошибки → потеря денег</t>
  </si>
  <si>
    <t>6. Последовательность действий</t>
  </si>
  <si>
    <t>Доводит ли до результата?</t>
  </si>
  <si>
    <t>Много начатого, мало завершённого</t>
  </si>
  <si>
    <t>50/50</t>
  </si>
  <si>
    <t>Доводит 90% решений</t>
  </si>
  <si>
    <t>Еженедельные трекинги</t>
  </si>
  <si>
    <t>Потеря времени, денег</t>
  </si>
  <si>
    <t>7. Умеет читать отчёты и задавать вопросы</t>
  </si>
  <si>
    <t>Управление через цифры</t>
  </si>
  <si>
    <t>Цифры пугают</t>
  </si>
  <si>
    <t>Иногда использует</t>
  </si>
  <si>
    <t>Управляет полностью</t>
  </si>
  <si>
    <t>Финансовая грамотность</t>
  </si>
  <si>
    <t>Бизнес идёт «вслепую»</t>
  </si>
  <si>
    <t>8. Зрелость мышления</t>
  </si>
  <si>
    <t>Мышление собственника vs. оператора</t>
  </si>
  <si>
    <t>Реактивное</t>
  </si>
  <si>
    <t>Частично стратегическое</t>
  </si>
  <si>
    <t>Стратегическое</t>
  </si>
  <si>
    <t>Менторство, стратегия</t>
  </si>
  <si>
    <t>Ошибки, неустойчивость</t>
  </si>
  <si>
    <t>9. Опыт управлением $2M+</t>
  </si>
  <si>
    <t>Был ли масштаб раньше</t>
  </si>
  <si>
    <t>Нет опыта</t>
  </si>
  <si>
    <t>Есть фрагментный опыт</t>
  </si>
  <si>
    <t>Есть успешный опыт</t>
  </si>
  <si>
    <t>Наставник/опытные партнёры</t>
  </si>
  <si>
    <t>Ошибки → потеря роста</t>
  </si>
  <si>
    <t>10. Уровень цифровизации</t>
  </si>
  <si>
    <t>Использует ли основатель цифровые инструменты</t>
  </si>
  <si>
    <t>Всё вручную</t>
  </si>
  <si>
    <t>Частично цифровые инструменты</t>
  </si>
  <si>
    <t>Полная цифровизация</t>
  </si>
  <si>
    <t>Обучение, внедрение продуктов</t>
  </si>
  <si>
    <t>Риски ошибок, замедление ×2</t>
  </si>
  <si>
    <t>Приоритет</t>
  </si>
  <si>
    <t>Ограничение</t>
  </si>
  <si>
    <t>Фокус</t>
  </si>
  <si>
    <t>Действия: зафиксировать 1–3 ключевых решения и внедрить их в ежедневный ритм команды.</t>
  </si>
  <si>
    <t>Почему сейчас: это даст быстрый эффект и снизит потери при росте.</t>
  </si>
  <si>
    <t>Марина Рахимжанова, GTM-архитектор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</si>
</sst>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2.0"/>
      <color theme="1"/>
      <name val="Oswald"/>
    </font>
    <font>
      <b/>
      <sz val="9.0"/>
      <color theme="1"/>
      <name val="Calibri"/>
    </font>
    <font>
      <b/>
      <color theme="1"/>
      <name val="Oswald"/>
    </font>
    <font>
      <color theme="1"/>
      <name val="Oswald"/>
    </font>
    <font>
      <b/>
      <sz val="11.0"/>
      <color theme="1"/>
      <name val="Calibri"/>
    </font>
    <font>
      <b/>
      <sz val="11.0"/>
      <color rgb="FF000000"/>
      <name val="Calibri"/>
    </font>
    <font/>
    <font>
      <color theme="1"/>
      <name val="Calibri"/>
      <scheme val="minor"/>
    </font>
    <font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0" xfId="0" applyAlignment="1" applyFont="1">
      <alignment readingOrder="0" shrinkToFit="0" vertical="center" wrapText="1"/>
    </xf>
    <xf borderId="0" fillId="0" fontId="4" numFmtId="0" xfId="0" applyFont="1"/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0" fillId="0" fontId="2" numFmtId="2" xfId="0" applyAlignment="1" applyFont="1" applyNumberFormat="1">
      <alignment horizontal="center" shrinkToFit="0" wrapText="1"/>
    </xf>
    <xf borderId="0" fillId="0" fontId="6" numFmtId="0" xfId="0" applyFont="1"/>
    <xf borderId="0" fillId="0" fontId="7" numFmtId="0" xfId="0" applyFont="1"/>
    <xf borderId="0" fillId="0" fontId="6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1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3" fillId="0" fontId="10" numFmtId="0" xfId="0" applyBorder="1" applyFont="1"/>
    <xf borderId="4" fillId="0" fontId="10" numFmtId="0" xfId="0" applyBorder="1" applyFont="1"/>
    <xf borderId="2" fillId="0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1" xfId="0" applyAlignment="1" applyFont="1" applyNumberFormat="1">
      <alignment horizontal="center" vertical="center"/>
    </xf>
    <xf borderId="0" fillId="0" fontId="3" numFmtId="0" xfId="0" applyFont="1"/>
    <xf borderId="1" fillId="2" fontId="8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8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2" fillId="0" fontId="8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1" fillId="0" fontId="12" numFmtId="0" xfId="0" applyAlignment="1" applyBorder="1" applyFont="1">
      <alignment shrinkToFit="0" vertical="center" wrapText="1"/>
    </xf>
    <xf borderId="0" fillId="3" fontId="3" numFmtId="0" xfId="0" applyAlignment="1" applyFill="1" applyFont="1">
      <alignment vertical="center"/>
    </xf>
    <xf borderId="1" fillId="2" fontId="8" numFmtId="0" xfId="0" applyAlignment="1" applyBorder="1" applyFont="1">
      <alignment shrinkToFit="0" vertical="center" wrapText="1"/>
    </xf>
    <xf borderId="1" fillId="2" fontId="8" numFmtId="0" xfId="0" applyBorder="1" applyFont="1"/>
    <xf borderId="1" fillId="0" fontId="8" numFmtId="0" xfId="0" applyAlignment="1" applyBorder="1" applyFont="1">
      <alignment shrinkToFit="0" wrapText="1"/>
    </xf>
    <xf borderId="1" fillId="0" fontId="3" numFmtId="0" xfId="0" applyBorder="1" applyFont="1"/>
    <xf borderId="1" fillId="0" fontId="8" numFmtId="0" xfId="0" applyBorder="1" applyFont="1"/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46.86"/>
    <col customWidth="1" min="3" max="3" width="13.14"/>
    <col customWidth="1" min="4" max="25" width="8.71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5">
        <v>9.0</v>
      </c>
    </row>
    <row r="3">
      <c r="A3" s="3" t="s">
        <v>3</v>
      </c>
      <c r="B3" s="4" t="s">
        <v>5</v>
      </c>
      <c r="C3" s="5">
        <v>9.0</v>
      </c>
    </row>
    <row r="4">
      <c r="A4" s="3" t="s">
        <v>3</v>
      </c>
      <c r="B4" s="4" t="s">
        <v>6</v>
      </c>
      <c r="C4" s="5">
        <v>3.0</v>
      </c>
    </row>
    <row r="5">
      <c r="A5" s="3" t="s">
        <v>3</v>
      </c>
      <c r="B5" s="4" t="s">
        <v>7</v>
      </c>
      <c r="C5" s="5">
        <v>5.0</v>
      </c>
    </row>
    <row r="6">
      <c r="A6" s="3" t="s">
        <v>3</v>
      </c>
      <c r="B6" s="4" t="s">
        <v>8</v>
      </c>
      <c r="C6" s="5">
        <v>4.0</v>
      </c>
    </row>
    <row r="7">
      <c r="A7" s="3" t="s">
        <v>3</v>
      </c>
      <c r="B7" s="4" t="s">
        <v>9</v>
      </c>
      <c r="C7" s="5">
        <v>6.0</v>
      </c>
    </row>
    <row r="8">
      <c r="A8" s="6" t="s">
        <v>10</v>
      </c>
      <c r="B8" s="7" t="s">
        <v>11</v>
      </c>
      <c r="C8" s="8">
        <v>8.0</v>
      </c>
    </row>
    <row r="9">
      <c r="A9" s="6" t="s">
        <v>10</v>
      </c>
      <c r="B9" s="7" t="s">
        <v>12</v>
      </c>
      <c r="C9" s="8">
        <v>9.0</v>
      </c>
    </row>
    <row r="10">
      <c r="A10" s="6" t="s">
        <v>10</v>
      </c>
      <c r="B10" s="7" t="s">
        <v>13</v>
      </c>
      <c r="C10" s="8">
        <v>2.0</v>
      </c>
    </row>
    <row r="11">
      <c r="A11" s="6" t="s">
        <v>10</v>
      </c>
      <c r="B11" s="7" t="s">
        <v>14</v>
      </c>
      <c r="C11" s="8">
        <v>3.0</v>
      </c>
    </row>
    <row r="12">
      <c r="A12" s="6" t="s">
        <v>10</v>
      </c>
      <c r="B12" s="7" t="s">
        <v>15</v>
      </c>
      <c r="C12" s="8">
        <v>4.0</v>
      </c>
    </row>
    <row r="13">
      <c r="A13" s="6" t="s">
        <v>10</v>
      </c>
      <c r="B13" s="7" t="s">
        <v>16</v>
      </c>
      <c r="C13" s="8">
        <v>5.0</v>
      </c>
    </row>
    <row r="14">
      <c r="A14" s="6" t="s">
        <v>17</v>
      </c>
      <c r="B14" s="7" t="s">
        <v>18</v>
      </c>
      <c r="C14" s="8">
        <v>6.0</v>
      </c>
    </row>
    <row r="15">
      <c r="A15" s="6" t="s">
        <v>17</v>
      </c>
      <c r="B15" s="7" t="s">
        <v>19</v>
      </c>
      <c r="C15" s="8">
        <v>7.0</v>
      </c>
    </row>
    <row r="16">
      <c r="A16" s="6" t="s">
        <v>17</v>
      </c>
      <c r="B16" s="7" t="s">
        <v>20</v>
      </c>
      <c r="C16" s="8">
        <v>7.0</v>
      </c>
    </row>
    <row r="17">
      <c r="A17" s="6" t="s">
        <v>17</v>
      </c>
      <c r="B17" s="7" t="s">
        <v>21</v>
      </c>
      <c r="C17" s="8">
        <v>8.0</v>
      </c>
    </row>
    <row r="18">
      <c r="A18" s="6" t="s">
        <v>17</v>
      </c>
      <c r="B18" s="7" t="s">
        <v>22</v>
      </c>
      <c r="C18" s="8">
        <v>9.0</v>
      </c>
    </row>
    <row r="19">
      <c r="A19" s="6" t="s">
        <v>23</v>
      </c>
      <c r="B19" s="7" t="s">
        <v>24</v>
      </c>
      <c r="C19" s="8">
        <v>8.0</v>
      </c>
    </row>
    <row r="20">
      <c r="A20" s="6" t="s">
        <v>23</v>
      </c>
      <c r="B20" s="7" t="s">
        <v>25</v>
      </c>
      <c r="C20" s="8">
        <v>5.0</v>
      </c>
    </row>
    <row r="21" ht="15.75" customHeight="1">
      <c r="A21" s="6" t="s">
        <v>23</v>
      </c>
      <c r="B21" s="7" t="s">
        <v>26</v>
      </c>
      <c r="C21" s="8">
        <v>2.0</v>
      </c>
    </row>
    <row r="22" ht="15.75" customHeight="1">
      <c r="A22" s="6" t="s">
        <v>27</v>
      </c>
      <c r="B22" s="7" t="s">
        <v>28</v>
      </c>
      <c r="C22" s="8">
        <v>4.0</v>
      </c>
    </row>
    <row r="23" ht="15.75" customHeight="1">
      <c r="A23" s="6" t="s">
        <v>27</v>
      </c>
      <c r="B23" s="7" t="s">
        <v>29</v>
      </c>
      <c r="C23" s="8">
        <v>1.0</v>
      </c>
    </row>
    <row r="24" ht="15.75" customHeight="1">
      <c r="A24" s="6" t="s">
        <v>27</v>
      </c>
      <c r="B24" s="7" t="s">
        <v>30</v>
      </c>
      <c r="C24" s="8">
        <v>3.0</v>
      </c>
    </row>
    <row r="25" ht="15.75" customHeight="1">
      <c r="A25" s="6" t="s">
        <v>27</v>
      </c>
      <c r="B25" s="7" t="s">
        <v>31</v>
      </c>
      <c r="C25" s="8">
        <v>4.0</v>
      </c>
    </row>
    <row r="26" ht="15.75" customHeight="1">
      <c r="A26" s="6" t="s">
        <v>27</v>
      </c>
      <c r="B26" s="7" t="s">
        <v>32</v>
      </c>
      <c r="C26" s="8">
        <v>1.0</v>
      </c>
    </row>
    <row r="27" ht="15.75" customHeight="1">
      <c r="A27" s="6" t="s">
        <v>27</v>
      </c>
      <c r="B27" s="7" t="s">
        <v>33</v>
      </c>
      <c r="C27" s="8">
        <v>1.0</v>
      </c>
    </row>
    <row r="28" ht="15.75" customHeight="1">
      <c r="A28" s="6" t="s">
        <v>27</v>
      </c>
      <c r="B28" s="7" t="s">
        <v>34</v>
      </c>
      <c r="C28" s="8">
        <v>1.0</v>
      </c>
    </row>
    <row r="29" ht="15.75" customHeight="1">
      <c r="A29" s="6" t="s">
        <v>35</v>
      </c>
      <c r="B29" s="7" t="s">
        <v>36</v>
      </c>
      <c r="C29" s="8">
        <v>2.0</v>
      </c>
    </row>
    <row r="30" ht="15.75" customHeight="1">
      <c r="A30" s="6" t="s">
        <v>35</v>
      </c>
      <c r="B30" s="7" t="s">
        <v>37</v>
      </c>
      <c r="C30" s="8">
        <v>2.0</v>
      </c>
    </row>
    <row r="31" ht="15.75" customHeight="1">
      <c r="A31" s="6" t="s">
        <v>35</v>
      </c>
      <c r="B31" s="7" t="s">
        <v>38</v>
      </c>
      <c r="C31" s="8">
        <v>2.0</v>
      </c>
    </row>
    <row r="32" ht="15.75" customHeight="1">
      <c r="A32" s="6" t="s">
        <v>35</v>
      </c>
      <c r="B32" s="7" t="s">
        <v>39</v>
      </c>
      <c r="C32" s="8">
        <v>2.0</v>
      </c>
    </row>
    <row r="33" ht="15.75" customHeight="1">
      <c r="A33" s="6" t="s">
        <v>35</v>
      </c>
      <c r="B33" s="7" t="s">
        <v>40</v>
      </c>
      <c r="C33" s="8">
        <v>8.0</v>
      </c>
    </row>
    <row r="34" ht="15.75" customHeight="1">
      <c r="A34" s="6" t="s">
        <v>35</v>
      </c>
      <c r="B34" s="7" t="s">
        <v>41</v>
      </c>
      <c r="C34" s="8">
        <v>2.0</v>
      </c>
    </row>
    <row r="35" ht="15.75" customHeight="1">
      <c r="A35" s="6" t="s">
        <v>35</v>
      </c>
      <c r="B35" s="7" t="s">
        <v>42</v>
      </c>
      <c r="C35" s="8">
        <v>2.0</v>
      </c>
    </row>
    <row r="36" ht="15.75" customHeight="1">
      <c r="A36" s="6" t="s">
        <v>35</v>
      </c>
      <c r="B36" s="7" t="s">
        <v>43</v>
      </c>
      <c r="C36" s="8">
        <v>2.0</v>
      </c>
    </row>
    <row r="37" ht="15.75" customHeight="1">
      <c r="A37" s="6" t="s">
        <v>35</v>
      </c>
      <c r="B37" s="7" t="s">
        <v>44</v>
      </c>
      <c r="C37" s="8">
        <v>2.0</v>
      </c>
    </row>
    <row r="38" ht="15.75" customHeight="1">
      <c r="A38" s="6" t="s">
        <v>35</v>
      </c>
      <c r="B38" s="7" t="s">
        <v>45</v>
      </c>
      <c r="C38" s="8">
        <v>2.0</v>
      </c>
    </row>
    <row r="39" ht="15.75" customHeight="1">
      <c r="A39" s="6" t="s">
        <v>35</v>
      </c>
      <c r="B39" s="7" t="s">
        <v>46</v>
      </c>
      <c r="C39" s="8">
        <v>2.0</v>
      </c>
    </row>
    <row r="40" ht="15.75" customHeight="1">
      <c r="A40" s="6" t="s">
        <v>47</v>
      </c>
      <c r="B40" s="7" t="s">
        <v>48</v>
      </c>
      <c r="C40" s="8">
        <v>8.0</v>
      </c>
    </row>
    <row r="41" ht="15.75" customHeight="1">
      <c r="A41" s="6" t="s">
        <v>47</v>
      </c>
      <c r="B41" s="7" t="s">
        <v>49</v>
      </c>
      <c r="C41" s="8">
        <v>9.0</v>
      </c>
    </row>
    <row r="42" ht="15.75" customHeight="1">
      <c r="A42" s="6" t="s">
        <v>47</v>
      </c>
      <c r="B42" s="7" t="s">
        <v>50</v>
      </c>
      <c r="C42" s="9">
        <v>6.0</v>
      </c>
    </row>
    <row r="43" ht="15.75" customHeight="1">
      <c r="A43" s="6" t="s">
        <v>47</v>
      </c>
      <c r="B43" s="7" t="s">
        <v>51</v>
      </c>
      <c r="C43" s="9">
        <v>8.0</v>
      </c>
    </row>
    <row r="44" ht="15.75" customHeight="1">
      <c r="A44" s="6" t="s">
        <v>47</v>
      </c>
      <c r="B44" s="7" t="s">
        <v>52</v>
      </c>
      <c r="C44" s="9">
        <v>6.0</v>
      </c>
    </row>
    <row r="45" ht="15.75" customHeight="1">
      <c r="A45" s="6" t="s">
        <v>47</v>
      </c>
      <c r="B45" s="7" t="s">
        <v>53</v>
      </c>
      <c r="C45" s="9">
        <v>6.0</v>
      </c>
    </row>
    <row r="46" ht="15.75" customHeight="1">
      <c r="A46" s="6" t="s">
        <v>47</v>
      </c>
      <c r="B46" s="7" t="s">
        <v>54</v>
      </c>
      <c r="C46" s="9">
        <v>6.0</v>
      </c>
    </row>
    <row r="47" ht="15.75" customHeight="1">
      <c r="A47" s="6" t="s">
        <v>47</v>
      </c>
      <c r="B47" s="7" t="s">
        <v>55</v>
      </c>
      <c r="C47" s="9">
        <v>6.0</v>
      </c>
    </row>
    <row r="48" ht="15.75" customHeight="1">
      <c r="A48" s="6" t="s">
        <v>47</v>
      </c>
      <c r="B48" s="7" t="s">
        <v>56</v>
      </c>
      <c r="C48" s="9">
        <v>6.0</v>
      </c>
    </row>
    <row r="49" ht="15.75" customHeight="1">
      <c r="A49" s="6" t="s">
        <v>47</v>
      </c>
      <c r="B49" s="7" t="s">
        <v>57</v>
      </c>
      <c r="C49" s="9">
        <v>6.0</v>
      </c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conditionalFormatting sqref="C2:C49">
    <cfRule type="colorScale" priority="1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56.29"/>
    <col customWidth="1" min="3" max="3" width="13.14"/>
    <col customWidth="1" min="4" max="25" width="8.71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5">
        <f>'GRI_2 (для примера, так надо сд'!C3</f>
        <v>8</v>
      </c>
    </row>
    <row r="3">
      <c r="A3" s="3" t="s">
        <v>3</v>
      </c>
      <c r="B3" s="4" t="s">
        <v>5</v>
      </c>
      <c r="C3" s="5">
        <f>'GRI_2 (для примера, так надо сд'!C6</f>
        <v>4</v>
      </c>
    </row>
    <row r="4">
      <c r="A4" s="3" t="s">
        <v>3</v>
      </c>
      <c r="B4" s="4" t="s">
        <v>6</v>
      </c>
      <c r="C4" s="5">
        <f>'GRI_2 (для примера, так надо сд'!C12</f>
        <v>1</v>
      </c>
    </row>
    <row r="5">
      <c r="A5" s="3" t="s">
        <v>3</v>
      </c>
      <c r="B5" s="4" t="s">
        <v>7</v>
      </c>
      <c r="C5" s="5">
        <f>'GRI_2 (для примера, так надо сд'!C15</f>
        <v>10</v>
      </c>
    </row>
    <row r="6">
      <c r="A6" s="3" t="s">
        <v>3</v>
      </c>
      <c r="B6" s="4" t="s">
        <v>8</v>
      </c>
      <c r="C6" s="5">
        <f>'GRI_2 (для примера, так надо сд'!C18</f>
        <v>2</v>
      </c>
    </row>
    <row r="7">
      <c r="A7" s="3" t="s">
        <v>3</v>
      </c>
      <c r="B7" s="4" t="s">
        <v>9</v>
      </c>
      <c r="C7" s="5">
        <f>'GRI_2 (для примера, так надо сд'!C24</f>
        <v>6</v>
      </c>
    </row>
    <row r="8">
      <c r="A8" s="3" t="s">
        <v>3</v>
      </c>
      <c r="B8" s="4" t="str">
        <f>'GRI_2 (для примера, так надо сд'!A21</f>
        <v>Апселлы и кросселлы</v>
      </c>
      <c r="C8" s="8">
        <f>'GRI_2 (для примера, так надо сд'!C21</f>
        <v>3</v>
      </c>
    </row>
    <row r="9">
      <c r="A9" s="3" t="s">
        <v>3</v>
      </c>
      <c r="B9" s="4" t="str">
        <f>'GRI_2 (для примера, так надо сд'!A24</f>
        <v>Платёжеспособный сегмент</v>
      </c>
      <c r="C9" s="8">
        <f>'GRI_2 (для примера, так надо сд'!C24</f>
        <v>6</v>
      </c>
    </row>
    <row r="10">
      <c r="A10" s="3" t="s">
        <v>3</v>
      </c>
      <c r="B10" s="4" t="str">
        <f>'GRI_2 (для примера, так надо сд'!A27</f>
        <v>Динамика рынка</v>
      </c>
      <c r="C10" s="8">
        <f>'GRI_2 (для примера, так надо сд'!C27</f>
        <v>4</v>
      </c>
    </row>
    <row r="11">
      <c r="A11" s="3" t="s">
        <v>3</v>
      </c>
      <c r="B11" s="4" t="str">
        <f>'GRI_2 (для примера, так надо сд'!A30</f>
        <v>Быстрота решения о покупке</v>
      </c>
      <c r="C11" s="8">
        <f>'GRI_2 (для примера, так надо сд'!C30</f>
        <v>3</v>
      </c>
    </row>
    <row r="12">
      <c r="A12" s="6" t="s">
        <v>10</v>
      </c>
      <c r="B12" s="7" t="s">
        <v>11</v>
      </c>
      <c r="C12" s="8">
        <v>8.0</v>
      </c>
    </row>
    <row r="13">
      <c r="A13" s="6" t="s">
        <v>10</v>
      </c>
      <c r="B13" s="7" t="s">
        <v>12</v>
      </c>
      <c r="C13" s="8">
        <v>9.0</v>
      </c>
    </row>
    <row r="14">
      <c r="A14" s="6" t="s">
        <v>10</v>
      </c>
      <c r="B14" s="7" t="s">
        <v>13</v>
      </c>
      <c r="C14" s="8">
        <v>2.0</v>
      </c>
    </row>
    <row r="15">
      <c r="A15" s="6" t="s">
        <v>10</v>
      </c>
      <c r="B15" s="7" t="s">
        <v>14</v>
      </c>
      <c r="C15" s="8">
        <v>3.0</v>
      </c>
    </row>
    <row r="16">
      <c r="A16" s="6" t="s">
        <v>10</v>
      </c>
      <c r="B16" s="7" t="s">
        <v>15</v>
      </c>
      <c r="C16" s="8">
        <v>4.0</v>
      </c>
    </row>
    <row r="17">
      <c r="A17" s="6" t="s">
        <v>10</v>
      </c>
      <c r="B17" s="7" t="s">
        <v>16</v>
      </c>
      <c r="C17" s="8">
        <v>5.0</v>
      </c>
    </row>
    <row r="18">
      <c r="A18" s="6" t="s">
        <v>17</v>
      </c>
      <c r="B18" s="7" t="s">
        <v>18</v>
      </c>
      <c r="C18" s="8">
        <v>6.0</v>
      </c>
    </row>
    <row r="19">
      <c r="A19" s="6" t="s">
        <v>17</v>
      </c>
      <c r="B19" s="7" t="s">
        <v>19</v>
      </c>
      <c r="C19" s="8">
        <v>7.0</v>
      </c>
    </row>
    <row r="20">
      <c r="A20" s="6" t="s">
        <v>17</v>
      </c>
      <c r="B20" s="7" t="s">
        <v>20</v>
      </c>
      <c r="C20" s="8">
        <v>7.0</v>
      </c>
    </row>
    <row r="21">
      <c r="A21" s="6" t="s">
        <v>17</v>
      </c>
      <c r="B21" s="7" t="s">
        <v>21</v>
      </c>
      <c r="C21" s="8">
        <v>8.0</v>
      </c>
    </row>
    <row r="22">
      <c r="A22" s="6" t="s">
        <v>17</v>
      </c>
      <c r="B22" s="7" t="s">
        <v>22</v>
      </c>
      <c r="C22" s="8">
        <v>9.0</v>
      </c>
    </row>
    <row r="23">
      <c r="A23" s="6" t="s">
        <v>23</v>
      </c>
      <c r="B23" s="10" t="s">
        <v>58</v>
      </c>
      <c r="C23" s="8">
        <v>8.0</v>
      </c>
    </row>
    <row r="24">
      <c r="A24" s="6" t="s">
        <v>23</v>
      </c>
      <c r="B24" s="10" t="s">
        <v>59</v>
      </c>
      <c r="C24" s="8">
        <v>5.0</v>
      </c>
    </row>
    <row r="25" ht="15.75" customHeight="1">
      <c r="A25" s="6" t="s">
        <v>23</v>
      </c>
      <c r="B25" s="10" t="s">
        <v>60</v>
      </c>
      <c r="C25" s="8">
        <v>2.0</v>
      </c>
    </row>
    <row r="26" ht="15.75" customHeight="1">
      <c r="A26" s="6" t="s">
        <v>23</v>
      </c>
      <c r="B26" s="10" t="s">
        <v>61</v>
      </c>
      <c r="C26" s="8"/>
    </row>
    <row r="27" ht="15.75" customHeight="1">
      <c r="A27" s="6" t="s">
        <v>23</v>
      </c>
      <c r="B27" s="10" t="s">
        <v>62</v>
      </c>
      <c r="C27" s="8"/>
    </row>
    <row r="28" ht="15.75" customHeight="1">
      <c r="A28" s="6" t="s">
        <v>23</v>
      </c>
      <c r="B28" s="10" t="s">
        <v>63</v>
      </c>
      <c r="C28" s="8"/>
    </row>
    <row r="29" ht="15.75" customHeight="1">
      <c r="A29" s="6" t="s">
        <v>23</v>
      </c>
      <c r="B29" s="10" t="s">
        <v>64</v>
      </c>
      <c r="C29" s="8"/>
    </row>
    <row r="30" ht="15.75" customHeight="1">
      <c r="A30" s="6" t="s">
        <v>27</v>
      </c>
      <c r="B30" s="7" t="s">
        <v>28</v>
      </c>
      <c r="C30" s="8">
        <v>4.0</v>
      </c>
    </row>
    <row r="31" ht="15.75" customHeight="1">
      <c r="A31" s="6" t="s">
        <v>27</v>
      </c>
      <c r="B31" s="7" t="s">
        <v>29</v>
      </c>
      <c r="C31" s="8">
        <v>1.0</v>
      </c>
    </row>
    <row r="32" ht="15.75" customHeight="1">
      <c r="A32" s="6" t="s">
        <v>27</v>
      </c>
      <c r="B32" s="7" t="s">
        <v>30</v>
      </c>
      <c r="C32" s="8">
        <v>3.0</v>
      </c>
    </row>
    <row r="33" ht="15.75" customHeight="1">
      <c r="A33" s="6" t="s">
        <v>27</v>
      </c>
      <c r="B33" s="7" t="s">
        <v>31</v>
      </c>
      <c r="C33" s="8">
        <v>4.0</v>
      </c>
    </row>
    <row r="34" ht="15.75" customHeight="1">
      <c r="A34" s="6" t="s">
        <v>27</v>
      </c>
      <c r="B34" s="7" t="s">
        <v>32</v>
      </c>
      <c r="C34" s="8">
        <v>1.0</v>
      </c>
    </row>
    <row r="35" ht="15.75" customHeight="1">
      <c r="A35" s="6" t="s">
        <v>27</v>
      </c>
      <c r="B35" s="7" t="s">
        <v>33</v>
      </c>
      <c r="C35" s="8">
        <v>1.0</v>
      </c>
    </row>
    <row r="36" ht="15.75" customHeight="1">
      <c r="A36" s="6" t="s">
        <v>27</v>
      </c>
      <c r="B36" s="7" t="s">
        <v>34</v>
      </c>
      <c r="C36" s="8">
        <v>1.0</v>
      </c>
    </row>
    <row r="37" ht="15.75" customHeight="1">
      <c r="A37" s="6" t="s">
        <v>35</v>
      </c>
      <c r="B37" s="7" t="s">
        <v>36</v>
      </c>
      <c r="C37" s="8">
        <v>2.0</v>
      </c>
    </row>
    <row r="38" ht="15.75" customHeight="1">
      <c r="A38" s="6" t="s">
        <v>35</v>
      </c>
      <c r="B38" s="7" t="s">
        <v>37</v>
      </c>
      <c r="C38" s="8">
        <v>2.0</v>
      </c>
    </row>
    <row r="39" ht="15.75" customHeight="1">
      <c r="A39" s="6" t="s">
        <v>35</v>
      </c>
      <c r="B39" s="7" t="s">
        <v>38</v>
      </c>
      <c r="C39" s="8">
        <v>2.0</v>
      </c>
    </row>
    <row r="40" ht="15.75" customHeight="1">
      <c r="A40" s="6" t="s">
        <v>35</v>
      </c>
      <c r="B40" s="7" t="s">
        <v>39</v>
      </c>
      <c r="C40" s="8">
        <v>2.0</v>
      </c>
    </row>
    <row r="41" ht="15.75" customHeight="1">
      <c r="A41" s="6" t="s">
        <v>35</v>
      </c>
      <c r="B41" s="7" t="s">
        <v>40</v>
      </c>
      <c r="C41" s="8">
        <v>8.0</v>
      </c>
    </row>
    <row r="42" ht="15.75" customHeight="1">
      <c r="A42" s="6" t="s">
        <v>35</v>
      </c>
      <c r="B42" s="7" t="s">
        <v>41</v>
      </c>
      <c r="C42" s="8">
        <v>2.0</v>
      </c>
    </row>
    <row r="43" ht="15.75" customHeight="1">
      <c r="A43" s="6" t="s">
        <v>35</v>
      </c>
      <c r="B43" s="7" t="s">
        <v>42</v>
      </c>
      <c r="C43" s="8">
        <v>2.0</v>
      </c>
    </row>
    <row r="44" ht="15.75" customHeight="1">
      <c r="A44" s="6" t="s">
        <v>35</v>
      </c>
      <c r="B44" s="7" t="s">
        <v>43</v>
      </c>
      <c r="C44" s="8">
        <v>2.0</v>
      </c>
    </row>
    <row r="45" ht="15.75" customHeight="1">
      <c r="A45" s="6" t="s">
        <v>35</v>
      </c>
      <c r="B45" s="7" t="s">
        <v>44</v>
      </c>
      <c r="C45" s="8">
        <v>2.0</v>
      </c>
    </row>
    <row r="46" ht="15.75" customHeight="1">
      <c r="A46" s="6" t="s">
        <v>35</v>
      </c>
      <c r="B46" s="7" t="s">
        <v>45</v>
      </c>
      <c r="C46" s="8">
        <v>2.0</v>
      </c>
    </row>
    <row r="47" ht="15.75" customHeight="1">
      <c r="A47" s="6" t="s">
        <v>35</v>
      </c>
      <c r="B47" s="7" t="s">
        <v>46</v>
      </c>
      <c r="C47" s="8">
        <v>2.0</v>
      </c>
    </row>
    <row r="48" ht="15.75" customHeight="1">
      <c r="A48" s="6" t="s">
        <v>47</v>
      </c>
      <c r="B48" s="7" t="s">
        <v>48</v>
      </c>
      <c r="C48" s="8">
        <v>8.0</v>
      </c>
    </row>
    <row r="49" ht="15.75" customHeight="1">
      <c r="A49" s="6" t="s">
        <v>47</v>
      </c>
      <c r="B49" s="7" t="s">
        <v>49</v>
      </c>
      <c r="C49" s="8">
        <v>9.0</v>
      </c>
    </row>
    <row r="50" ht="15.75" customHeight="1">
      <c r="A50" s="6" t="s">
        <v>47</v>
      </c>
      <c r="B50" s="7" t="s">
        <v>50</v>
      </c>
      <c r="C50" s="9">
        <v>6.0</v>
      </c>
    </row>
    <row r="51" ht="15.75" customHeight="1">
      <c r="A51" s="6" t="s">
        <v>47</v>
      </c>
      <c r="B51" s="7" t="s">
        <v>51</v>
      </c>
      <c r="C51" s="9">
        <v>8.0</v>
      </c>
    </row>
    <row r="52" ht="15.75" customHeight="1">
      <c r="A52" s="6" t="s">
        <v>47</v>
      </c>
      <c r="B52" s="7" t="s">
        <v>52</v>
      </c>
      <c r="C52" s="9">
        <v>6.0</v>
      </c>
    </row>
    <row r="53" ht="15.75" customHeight="1">
      <c r="A53" s="6" t="s">
        <v>47</v>
      </c>
      <c r="B53" s="7" t="s">
        <v>53</v>
      </c>
      <c r="C53" s="9">
        <v>6.0</v>
      </c>
    </row>
    <row r="54" ht="15.75" customHeight="1">
      <c r="A54" s="6" t="s">
        <v>47</v>
      </c>
      <c r="B54" s="7" t="s">
        <v>54</v>
      </c>
      <c r="C54" s="9">
        <v>6.0</v>
      </c>
    </row>
    <row r="55" ht="15.75" customHeight="1">
      <c r="A55" s="6" t="s">
        <v>47</v>
      </c>
      <c r="B55" s="7" t="s">
        <v>55</v>
      </c>
      <c r="C55" s="9">
        <v>6.0</v>
      </c>
    </row>
    <row r="56" ht="15.75" customHeight="1">
      <c r="A56" s="6" t="s">
        <v>47</v>
      </c>
      <c r="B56" s="7" t="s">
        <v>56</v>
      </c>
      <c r="C56" s="9">
        <v>6.0</v>
      </c>
    </row>
    <row r="57" ht="15.75" customHeight="1">
      <c r="A57" s="6" t="s">
        <v>47</v>
      </c>
      <c r="B57" s="7" t="s">
        <v>57</v>
      </c>
      <c r="C57" s="9">
        <v>6.0</v>
      </c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  <row r="1001" ht="15.75" customHeight="1">
      <c r="B1001" s="7"/>
    </row>
    <row r="1002" ht="15.75" customHeight="1">
      <c r="B1002" s="7"/>
    </row>
    <row r="1003" ht="15.75" customHeight="1">
      <c r="B1003" s="7"/>
    </row>
    <row r="1004" ht="15.75" customHeight="1">
      <c r="B1004" s="7"/>
    </row>
    <row r="1005" ht="15.75" customHeight="1">
      <c r="B1005" s="7"/>
    </row>
    <row r="1006" ht="15.75" customHeight="1">
      <c r="B1006" s="7"/>
    </row>
    <row r="1007" ht="15.75" customHeight="1">
      <c r="B1007" s="7"/>
    </row>
    <row r="1008" ht="15.75" customHeight="1">
      <c r="B1008" s="7"/>
    </row>
  </sheetData>
  <conditionalFormatting sqref="C2:C57">
    <cfRule type="colorScale" priority="1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11.86"/>
    <col customWidth="1" min="3" max="3" width="62.0"/>
    <col customWidth="1" min="4" max="26" width="8.71"/>
  </cols>
  <sheetData>
    <row r="1">
      <c r="A1" s="11" t="s">
        <v>65</v>
      </c>
      <c r="B1" s="12"/>
    </row>
    <row r="2">
      <c r="A2" s="13" t="s">
        <v>66</v>
      </c>
      <c r="B2" s="14" t="s">
        <v>67</v>
      </c>
      <c r="C2" s="13" t="s">
        <v>68</v>
      </c>
    </row>
    <row r="3">
      <c r="A3" s="1" t="s">
        <v>3</v>
      </c>
      <c r="B3" s="12">
        <f>AVERAGEIF(GRI_v8_2!$A:$A,"Product &amp; Demand",GRI_v8_2!$C:$C)</f>
        <v>4.7</v>
      </c>
      <c r="C3" s="6" t="str">
        <f t="shared" ref="C3:C9" si="1">IF(B3&lt;4,"Критический блок, без доработки масштабирование невозможно.",
IF(B3&lt;6,"Слабое место, требует приоритетной доработки перед ростом.",
IF(B3&lt;8,"Достаточный уровень, но есть зоны для усиления.",
"Сильная сторона, может быть опорой для масштабирования.")))</f>
        <v>Слабое место, требует приоритетной доработки перед ростом.</v>
      </c>
    </row>
    <row r="4">
      <c r="A4" s="1" t="s">
        <v>10</v>
      </c>
      <c r="B4" s="15">
        <f>AVERAGEIF(GRI_v8_2!$A:$A,"Trust &amp; Positioning",GRI_v8_2!$C:$C)</f>
        <v>5.166666667</v>
      </c>
      <c r="C4" s="6" t="str">
        <f t="shared" si="1"/>
        <v>Слабое место, требует приоритетной доработки перед ростом.</v>
      </c>
    </row>
    <row r="5">
      <c r="A5" s="1" t="s">
        <v>17</v>
      </c>
      <c r="B5" s="12">
        <f>AVERAGEIF(GRI_v8!$A:$A,"Business Model",GRI_v8!$C:$C)</f>
        <v>7.4</v>
      </c>
      <c r="C5" s="6" t="str">
        <f t="shared" si="1"/>
        <v>Достаточный уровень, но есть зоны для усиления.</v>
      </c>
    </row>
    <row r="6">
      <c r="A6" s="1" t="s">
        <v>23</v>
      </c>
      <c r="B6" s="12">
        <f>AVERAGEIF(GRI_v8!$A:$A,"Cash Stability",GRI_v8!$C:$C)</f>
        <v>5</v>
      </c>
      <c r="C6" s="6" t="str">
        <f t="shared" si="1"/>
        <v>Слабое место, требует приоритетной доработки перед ростом.</v>
      </c>
    </row>
    <row r="7">
      <c r="A7" s="1" t="s">
        <v>27</v>
      </c>
      <c r="B7" s="15">
        <f>AVERAGEIF(GRI_v8!$A:$A,"Operations",GRI_v8!$C:$C)</f>
        <v>2.142857143</v>
      </c>
      <c r="C7" s="6" t="str">
        <f t="shared" si="1"/>
        <v>Критический блок, без доработки масштабирование невозможно.</v>
      </c>
    </row>
    <row r="8">
      <c r="A8" s="1" t="s">
        <v>35</v>
      </c>
      <c r="B8" s="15">
        <f>AVERAGEIF(GRI_v8!$A:$A,"Team",GRI_v8!$C:$C)</f>
        <v>2.545454545</v>
      </c>
      <c r="C8" s="6" t="str">
        <f t="shared" si="1"/>
        <v>Критический блок, без доработки масштабирование невозможно.</v>
      </c>
    </row>
    <row r="9">
      <c r="A9" s="1" t="s">
        <v>47</v>
      </c>
      <c r="B9" s="12">
        <f>AVERAGEIF(GRI_v8!$A:$A,"Founder Readiness",GRI_v8!$C:$C)</f>
        <v>6.7</v>
      </c>
      <c r="C9" s="6" t="str">
        <f t="shared" si="1"/>
        <v>Достаточный уровень, но есть зоны для усиления.</v>
      </c>
    </row>
    <row r="10">
      <c r="B10" s="12"/>
    </row>
    <row r="11">
      <c r="B11" s="12"/>
    </row>
    <row r="12">
      <c r="A12" s="16" t="s">
        <v>69</v>
      </c>
      <c r="B12" s="15">
        <f>B3*0.25 + B4*0.05 + B5*0.1 + B6*0.05 + B7*0.15 + B8*0.2 + B9*0.2</f>
        <v>4.593852814</v>
      </c>
    </row>
    <row r="13">
      <c r="A13" s="17"/>
      <c r="B13" s="12"/>
    </row>
    <row r="14">
      <c r="A14" s="18" t="s">
        <v>70</v>
      </c>
      <c r="B14" s="19" t="str">
        <f>IF(B12&lt;4,"Низкая готовность к масштабированию. Масштаб запускать нельзя, требуется глубокий пилот и перестройка модели.",IF(B12&lt;6,"Средняя готовность. Есть потенциал, но высокий риск провала при росте. Нужен пилот и доработка ключевых блоков.",IF(B12&lt;8,"Хорошая основа. Можно готовиться к масштабированию после усиления слабых зон (команда, операции, экономика).","Высокая готовность. При системной работе продукт может выйти на $2M за 12–18 месяцев.")))</f>
        <v>Средняя готовность. Есть потенциал, но высокий риск провала при росте. Нужен пилот и доработка ключевых блоков.</v>
      </c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/>
      <c r="B15" s="12"/>
    </row>
    <row r="16">
      <c r="A16" s="16" t="s">
        <v>71</v>
      </c>
      <c r="B16" s="12"/>
    </row>
    <row r="17">
      <c r="A17" s="6" t="s">
        <v>72</v>
      </c>
      <c r="B17" s="12"/>
    </row>
    <row r="18">
      <c r="A18" s="6" t="s">
        <v>73</v>
      </c>
      <c r="B18" s="12"/>
    </row>
    <row r="19">
      <c r="A19" s="6" t="s">
        <v>74</v>
      </c>
      <c r="B19" s="12"/>
    </row>
    <row r="20" ht="15.75" customHeight="1">
      <c r="A20" s="6" t="s">
        <v>75</v>
      </c>
      <c r="B20" s="12"/>
    </row>
    <row r="21" ht="15.75" customHeight="1">
      <c r="A21" s="6" t="s">
        <v>76</v>
      </c>
      <c r="B21" s="12"/>
    </row>
    <row r="22" ht="15.75" customHeight="1">
      <c r="B22" s="12"/>
    </row>
    <row r="23" ht="15.75" customHeight="1">
      <c r="A23" s="20" t="s">
        <v>77</v>
      </c>
      <c r="B23" s="19" t="str">
        <f>IF(
  B12&lt;4,
  "В текущей конфигурации вероятность выхода на $2M низкая. Нужна серьёзная перестройка продукта, команды и процессов.",
  IF(
    B12&lt;6,
    "При доработке продукта, команды и операционной системы возможно движение к $2M за 2–3 года.",
    IF(
      B12&lt;8,
      "Есть шанс выйти на $2M за 18–24 месяца при усилении слабых блоков и сохранении дисциплины.",
      "Есть высокий шанс достижения $2M за 12–18 месяцев при системной работе и контроле ключевых метрик."
    )
  )
)</f>
        <v>При доработке продукта, команды и операционной системы возможно движение к $2M за 2–3 года.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B25" s="12"/>
    </row>
    <row r="26" ht="15.75" customHeight="1">
      <c r="A26" s="6" t="s">
        <v>78</v>
      </c>
      <c r="B26" s="21" t="s">
        <v>79</v>
      </c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  <row r="502" ht="15.75" customHeight="1">
      <c r="B502" s="12"/>
    </row>
    <row r="503" ht="15.75" customHeight="1">
      <c r="B503" s="12"/>
    </row>
    <row r="504" ht="15.75" customHeight="1">
      <c r="B504" s="12"/>
    </row>
    <row r="505" ht="15.75" customHeight="1">
      <c r="B505" s="12"/>
    </row>
    <row r="506" ht="15.75" customHeight="1">
      <c r="B506" s="12"/>
    </row>
    <row r="507" ht="15.75" customHeight="1">
      <c r="B507" s="12"/>
    </row>
    <row r="508" ht="15.75" customHeight="1">
      <c r="B508" s="12"/>
    </row>
    <row r="509" ht="15.75" customHeight="1">
      <c r="B509" s="12"/>
    </row>
    <row r="510" ht="15.75" customHeight="1">
      <c r="B510" s="12"/>
    </row>
    <row r="511" ht="15.75" customHeight="1">
      <c r="B511" s="12"/>
    </row>
    <row r="512" ht="15.75" customHeight="1">
      <c r="B512" s="12"/>
    </row>
    <row r="513" ht="15.75" customHeight="1">
      <c r="B513" s="12"/>
    </row>
    <row r="514" ht="15.75" customHeight="1">
      <c r="B514" s="12"/>
    </row>
    <row r="515" ht="15.75" customHeight="1">
      <c r="B515" s="12"/>
    </row>
    <row r="516" ht="15.75" customHeight="1">
      <c r="B516" s="12"/>
    </row>
    <row r="517" ht="15.75" customHeight="1">
      <c r="B517" s="12"/>
    </row>
    <row r="518" ht="15.75" customHeight="1">
      <c r="B518" s="12"/>
    </row>
    <row r="519" ht="15.75" customHeight="1">
      <c r="B519" s="12"/>
    </row>
    <row r="520" ht="15.75" customHeight="1">
      <c r="B520" s="12"/>
    </row>
    <row r="521" ht="15.75" customHeight="1">
      <c r="B521" s="12"/>
    </row>
    <row r="522" ht="15.75" customHeight="1">
      <c r="B522" s="12"/>
    </row>
    <row r="523" ht="15.75" customHeight="1">
      <c r="B523" s="12"/>
    </row>
    <row r="524" ht="15.75" customHeight="1">
      <c r="B524" s="12"/>
    </row>
    <row r="525" ht="15.75" customHeight="1">
      <c r="B525" s="12"/>
    </row>
    <row r="526" ht="15.75" customHeight="1">
      <c r="B526" s="12"/>
    </row>
    <row r="527" ht="15.75" customHeight="1">
      <c r="B527" s="12"/>
    </row>
    <row r="528" ht="15.75" customHeight="1">
      <c r="B528" s="12"/>
    </row>
    <row r="529" ht="15.75" customHeight="1">
      <c r="B529" s="12"/>
    </row>
    <row r="530" ht="15.75" customHeight="1">
      <c r="B530" s="12"/>
    </row>
    <row r="531" ht="15.75" customHeight="1">
      <c r="B531" s="12"/>
    </row>
    <row r="532" ht="15.75" customHeight="1">
      <c r="B532" s="12"/>
    </row>
    <row r="533" ht="15.75" customHeight="1">
      <c r="B533" s="12"/>
    </row>
    <row r="534" ht="15.75" customHeight="1">
      <c r="B534" s="12"/>
    </row>
    <row r="535" ht="15.75" customHeight="1">
      <c r="B535" s="12"/>
    </row>
    <row r="536" ht="15.75" customHeight="1">
      <c r="B536" s="12"/>
    </row>
    <row r="537" ht="15.75" customHeight="1">
      <c r="B537" s="12"/>
    </row>
    <row r="538" ht="15.75" customHeight="1">
      <c r="B538" s="12"/>
    </row>
    <row r="539" ht="15.75" customHeight="1">
      <c r="B539" s="12"/>
    </row>
    <row r="540" ht="15.75" customHeight="1">
      <c r="B540" s="12"/>
    </row>
    <row r="541" ht="15.75" customHeight="1">
      <c r="B541" s="12"/>
    </row>
    <row r="542" ht="15.75" customHeight="1">
      <c r="B542" s="12"/>
    </row>
    <row r="543" ht="15.75" customHeight="1">
      <c r="B543" s="12"/>
    </row>
    <row r="544" ht="15.75" customHeight="1">
      <c r="B544" s="12"/>
    </row>
    <row r="545" ht="15.75" customHeight="1">
      <c r="B545" s="12"/>
    </row>
    <row r="546" ht="15.75" customHeight="1">
      <c r="B546" s="12"/>
    </row>
    <row r="547" ht="15.75" customHeight="1">
      <c r="B547" s="12"/>
    </row>
    <row r="548" ht="15.75" customHeight="1">
      <c r="B548" s="12"/>
    </row>
    <row r="549" ht="15.75" customHeight="1">
      <c r="B549" s="12"/>
    </row>
    <row r="550" ht="15.75" customHeight="1">
      <c r="B550" s="12"/>
    </row>
    <row r="551" ht="15.75" customHeight="1">
      <c r="B551" s="12"/>
    </row>
    <row r="552" ht="15.75" customHeight="1">
      <c r="B552" s="12"/>
    </row>
    <row r="553" ht="15.75" customHeight="1">
      <c r="B553" s="12"/>
    </row>
    <row r="554" ht="15.75" customHeight="1">
      <c r="B554" s="12"/>
    </row>
    <row r="555" ht="15.75" customHeight="1">
      <c r="B555" s="12"/>
    </row>
    <row r="556" ht="15.75" customHeight="1">
      <c r="B556" s="12"/>
    </row>
    <row r="557" ht="15.75" customHeight="1">
      <c r="B557" s="12"/>
    </row>
    <row r="558" ht="15.75" customHeight="1">
      <c r="B558" s="12"/>
    </row>
    <row r="559" ht="15.75" customHeight="1">
      <c r="B559" s="12"/>
    </row>
    <row r="560" ht="15.75" customHeight="1">
      <c r="B560" s="12"/>
    </row>
    <row r="561" ht="15.75" customHeight="1">
      <c r="B561" s="12"/>
    </row>
    <row r="562" ht="15.75" customHeight="1">
      <c r="B562" s="12"/>
    </row>
    <row r="563" ht="15.75" customHeight="1">
      <c r="B563" s="12"/>
    </row>
    <row r="564" ht="15.75" customHeight="1">
      <c r="B564" s="12"/>
    </row>
    <row r="565" ht="15.75" customHeight="1">
      <c r="B565" s="12"/>
    </row>
    <row r="566" ht="15.75" customHeight="1">
      <c r="B566" s="12"/>
    </row>
    <row r="567" ht="15.75" customHeight="1">
      <c r="B567" s="12"/>
    </row>
    <row r="568" ht="15.75" customHeight="1">
      <c r="B568" s="12"/>
    </row>
    <row r="569" ht="15.75" customHeight="1">
      <c r="B569" s="12"/>
    </row>
    <row r="570" ht="15.75" customHeight="1">
      <c r="B570" s="12"/>
    </row>
    <row r="571" ht="15.75" customHeight="1">
      <c r="B571" s="12"/>
    </row>
    <row r="572" ht="15.75" customHeight="1">
      <c r="B572" s="12"/>
    </row>
    <row r="573" ht="15.75" customHeight="1">
      <c r="B573" s="12"/>
    </row>
    <row r="574" ht="15.75" customHeight="1">
      <c r="B574" s="12"/>
    </row>
    <row r="575" ht="15.75" customHeight="1">
      <c r="B575" s="12"/>
    </row>
    <row r="576" ht="15.75" customHeight="1">
      <c r="B576" s="12"/>
    </row>
    <row r="577" ht="15.75" customHeight="1">
      <c r="B577" s="12"/>
    </row>
    <row r="578" ht="15.75" customHeight="1">
      <c r="B578" s="12"/>
    </row>
    <row r="579" ht="15.75" customHeight="1">
      <c r="B579" s="12"/>
    </row>
    <row r="580" ht="15.75" customHeight="1">
      <c r="B580" s="12"/>
    </row>
    <row r="581" ht="15.75" customHeight="1">
      <c r="B581" s="12"/>
    </row>
    <row r="582" ht="15.75" customHeight="1">
      <c r="B582" s="12"/>
    </row>
    <row r="583" ht="15.75" customHeight="1">
      <c r="B583" s="12"/>
    </row>
    <row r="584" ht="15.75" customHeight="1">
      <c r="B584" s="12"/>
    </row>
    <row r="585" ht="15.75" customHeight="1">
      <c r="B585" s="12"/>
    </row>
    <row r="586" ht="15.75" customHeight="1">
      <c r="B586" s="12"/>
    </row>
    <row r="587" ht="15.75" customHeight="1">
      <c r="B587" s="12"/>
    </row>
    <row r="588" ht="15.75" customHeight="1">
      <c r="B588" s="12"/>
    </row>
    <row r="589" ht="15.75" customHeight="1">
      <c r="B589" s="12"/>
    </row>
    <row r="590" ht="15.75" customHeight="1">
      <c r="B590" s="12"/>
    </row>
    <row r="591" ht="15.75" customHeight="1">
      <c r="B591" s="12"/>
    </row>
    <row r="592" ht="15.75" customHeight="1">
      <c r="B592" s="12"/>
    </row>
    <row r="593" ht="15.75" customHeight="1">
      <c r="B593" s="12"/>
    </row>
    <row r="594" ht="15.75" customHeight="1">
      <c r="B594" s="12"/>
    </row>
    <row r="595" ht="15.75" customHeight="1">
      <c r="B595" s="12"/>
    </row>
    <row r="596" ht="15.75" customHeight="1">
      <c r="B596" s="12"/>
    </row>
    <row r="597" ht="15.75" customHeight="1">
      <c r="B597" s="12"/>
    </row>
    <row r="598" ht="15.75" customHeight="1">
      <c r="B598" s="12"/>
    </row>
    <row r="599" ht="15.75" customHeight="1">
      <c r="B599" s="12"/>
    </row>
    <row r="600" ht="15.75" customHeight="1">
      <c r="B600" s="12"/>
    </row>
    <row r="601" ht="15.75" customHeight="1">
      <c r="B601" s="12"/>
    </row>
    <row r="602" ht="15.75" customHeight="1">
      <c r="B602" s="12"/>
    </row>
    <row r="603" ht="15.75" customHeight="1">
      <c r="B603" s="12"/>
    </row>
    <row r="604" ht="15.75" customHeight="1">
      <c r="B604" s="12"/>
    </row>
    <row r="605" ht="15.75" customHeight="1">
      <c r="B605" s="12"/>
    </row>
    <row r="606" ht="15.75" customHeight="1">
      <c r="B606" s="12"/>
    </row>
    <row r="607" ht="15.75" customHeight="1">
      <c r="B607" s="12"/>
    </row>
    <row r="608" ht="15.75" customHeight="1">
      <c r="B608" s="12"/>
    </row>
    <row r="609" ht="15.75" customHeight="1">
      <c r="B609" s="12"/>
    </row>
    <row r="610" ht="15.75" customHeight="1">
      <c r="B610" s="12"/>
    </row>
    <row r="611" ht="15.75" customHeight="1">
      <c r="B611" s="12"/>
    </row>
    <row r="612" ht="15.75" customHeight="1">
      <c r="B612" s="12"/>
    </row>
    <row r="613" ht="15.75" customHeight="1">
      <c r="B613" s="12"/>
    </row>
    <row r="614" ht="15.75" customHeight="1">
      <c r="B614" s="12"/>
    </row>
    <row r="615" ht="15.75" customHeight="1">
      <c r="B615" s="12"/>
    </row>
    <row r="616" ht="15.75" customHeight="1">
      <c r="B616" s="12"/>
    </row>
    <row r="617" ht="15.75" customHeight="1">
      <c r="B617" s="12"/>
    </row>
    <row r="618" ht="15.75" customHeight="1">
      <c r="B618" s="12"/>
    </row>
    <row r="619" ht="15.75" customHeight="1">
      <c r="B619" s="12"/>
    </row>
    <row r="620" ht="15.75" customHeight="1">
      <c r="B620" s="12"/>
    </row>
    <row r="621" ht="15.75" customHeight="1">
      <c r="B621" s="12"/>
    </row>
    <row r="622" ht="15.75" customHeight="1">
      <c r="B622" s="12"/>
    </row>
    <row r="623" ht="15.75" customHeight="1">
      <c r="B623" s="12"/>
    </row>
    <row r="624" ht="15.75" customHeight="1">
      <c r="B624" s="12"/>
    </row>
    <row r="625" ht="15.75" customHeight="1">
      <c r="B625" s="12"/>
    </row>
    <row r="626" ht="15.75" customHeight="1">
      <c r="B626" s="12"/>
    </row>
    <row r="627" ht="15.75" customHeight="1">
      <c r="B627" s="12"/>
    </row>
    <row r="628" ht="15.75" customHeight="1">
      <c r="B628" s="12"/>
    </row>
    <row r="629" ht="15.75" customHeight="1">
      <c r="B629" s="12"/>
    </row>
    <row r="630" ht="15.75" customHeight="1">
      <c r="B630" s="12"/>
    </row>
    <row r="631" ht="15.75" customHeight="1">
      <c r="B631" s="12"/>
    </row>
    <row r="632" ht="15.75" customHeight="1">
      <c r="B632" s="12"/>
    </row>
    <row r="633" ht="15.75" customHeight="1">
      <c r="B633" s="12"/>
    </row>
    <row r="634" ht="15.75" customHeight="1">
      <c r="B634" s="12"/>
    </row>
    <row r="635" ht="15.75" customHeight="1">
      <c r="B635" s="12"/>
    </row>
    <row r="636" ht="15.75" customHeight="1">
      <c r="B636" s="12"/>
    </row>
    <row r="637" ht="15.75" customHeight="1">
      <c r="B637" s="12"/>
    </row>
    <row r="638" ht="15.75" customHeight="1">
      <c r="B638" s="12"/>
    </row>
    <row r="639" ht="15.75" customHeight="1">
      <c r="B639" s="12"/>
    </row>
    <row r="640" ht="15.75" customHeight="1">
      <c r="B640" s="12"/>
    </row>
    <row r="641" ht="15.75" customHeight="1">
      <c r="B641" s="12"/>
    </row>
    <row r="642" ht="15.75" customHeight="1">
      <c r="B642" s="12"/>
    </row>
    <row r="643" ht="15.75" customHeight="1">
      <c r="B643" s="12"/>
    </row>
    <row r="644" ht="15.75" customHeight="1">
      <c r="B644" s="12"/>
    </row>
    <row r="645" ht="15.75" customHeight="1">
      <c r="B645" s="12"/>
    </row>
    <row r="646" ht="15.75" customHeight="1">
      <c r="B646" s="12"/>
    </row>
    <row r="647" ht="15.75" customHeight="1">
      <c r="B647" s="12"/>
    </row>
    <row r="648" ht="15.75" customHeight="1">
      <c r="B648" s="12"/>
    </row>
    <row r="649" ht="15.75" customHeight="1">
      <c r="B649" s="12"/>
    </row>
    <row r="650" ht="15.75" customHeight="1">
      <c r="B650" s="12"/>
    </row>
    <row r="651" ht="15.75" customHeight="1">
      <c r="B651" s="12"/>
    </row>
    <row r="652" ht="15.75" customHeight="1">
      <c r="B652" s="12"/>
    </row>
    <row r="653" ht="15.75" customHeight="1">
      <c r="B653" s="12"/>
    </row>
    <row r="654" ht="15.75" customHeight="1">
      <c r="B654" s="12"/>
    </row>
    <row r="655" ht="15.75" customHeight="1">
      <c r="B655" s="12"/>
    </row>
    <row r="656" ht="15.75" customHeight="1">
      <c r="B656" s="12"/>
    </row>
    <row r="657" ht="15.75" customHeight="1">
      <c r="B657" s="12"/>
    </row>
    <row r="658" ht="15.75" customHeight="1">
      <c r="B658" s="12"/>
    </row>
    <row r="659" ht="15.75" customHeight="1">
      <c r="B659" s="12"/>
    </row>
    <row r="660" ht="15.75" customHeight="1">
      <c r="B660" s="12"/>
    </row>
    <row r="661" ht="15.75" customHeight="1">
      <c r="B661" s="12"/>
    </row>
    <row r="662" ht="15.75" customHeight="1">
      <c r="B662" s="12"/>
    </row>
    <row r="663" ht="15.75" customHeight="1">
      <c r="B663" s="12"/>
    </row>
    <row r="664" ht="15.75" customHeight="1">
      <c r="B664" s="12"/>
    </row>
    <row r="665" ht="15.75" customHeight="1">
      <c r="B665" s="12"/>
    </row>
    <row r="666" ht="15.75" customHeight="1">
      <c r="B666" s="12"/>
    </row>
    <row r="667" ht="15.75" customHeight="1">
      <c r="B667" s="12"/>
    </row>
    <row r="668" ht="15.75" customHeight="1">
      <c r="B668" s="12"/>
    </row>
    <row r="669" ht="15.75" customHeight="1">
      <c r="B669" s="12"/>
    </row>
    <row r="670" ht="15.75" customHeight="1">
      <c r="B670" s="12"/>
    </row>
    <row r="671" ht="15.75" customHeight="1">
      <c r="B671" s="12"/>
    </row>
    <row r="672" ht="15.75" customHeight="1">
      <c r="B672" s="12"/>
    </row>
    <row r="673" ht="15.75" customHeight="1">
      <c r="B673" s="12"/>
    </row>
    <row r="674" ht="15.75" customHeight="1">
      <c r="B674" s="12"/>
    </row>
    <row r="675" ht="15.75" customHeight="1">
      <c r="B675" s="12"/>
    </row>
    <row r="676" ht="15.75" customHeight="1">
      <c r="B676" s="12"/>
    </row>
    <row r="677" ht="15.75" customHeight="1">
      <c r="B677" s="12"/>
    </row>
    <row r="678" ht="15.75" customHeight="1">
      <c r="B678" s="12"/>
    </row>
    <row r="679" ht="15.75" customHeight="1">
      <c r="B679" s="12"/>
    </row>
    <row r="680" ht="15.75" customHeight="1">
      <c r="B680" s="12"/>
    </row>
    <row r="681" ht="15.75" customHeight="1">
      <c r="B681" s="12"/>
    </row>
    <row r="682" ht="15.75" customHeight="1">
      <c r="B682" s="12"/>
    </row>
    <row r="683" ht="15.75" customHeight="1">
      <c r="B683" s="12"/>
    </row>
    <row r="684" ht="15.75" customHeight="1">
      <c r="B684" s="12"/>
    </row>
    <row r="685" ht="15.75" customHeight="1">
      <c r="B685" s="12"/>
    </row>
    <row r="686" ht="15.75" customHeight="1">
      <c r="B686" s="12"/>
    </row>
    <row r="687" ht="15.75" customHeight="1">
      <c r="B687" s="12"/>
    </row>
    <row r="688" ht="15.75" customHeight="1">
      <c r="B688" s="12"/>
    </row>
    <row r="689" ht="15.75" customHeight="1">
      <c r="B689" s="12"/>
    </row>
    <row r="690" ht="15.75" customHeight="1">
      <c r="B690" s="12"/>
    </row>
    <row r="691" ht="15.75" customHeight="1">
      <c r="B691" s="12"/>
    </row>
    <row r="692" ht="15.75" customHeight="1">
      <c r="B692" s="12"/>
    </row>
    <row r="693" ht="15.75" customHeight="1">
      <c r="B693" s="12"/>
    </row>
    <row r="694" ht="15.75" customHeight="1">
      <c r="B694" s="12"/>
    </row>
    <row r="695" ht="15.75" customHeight="1">
      <c r="B695" s="12"/>
    </row>
    <row r="696" ht="15.75" customHeight="1">
      <c r="B696" s="12"/>
    </row>
    <row r="697" ht="15.75" customHeight="1">
      <c r="B697" s="12"/>
    </row>
    <row r="698" ht="15.75" customHeight="1">
      <c r="B698" s="12"/>
    </row>
    <row r="699" ht="15.75" customHeight="1">
      <c r="B699" s="12"/>
    </row>
    <row r="700" ht="15.75" customHeight="1">
      <c r="B700" s="12"/>
    </row>
    <row r="701" ht="15.75" customHeight="1">
      <c r="B701" s="12"/>
    </row>
    <row r="702" ht="15.75" customHeight="1">
      <c r="B702" s="12"/>
    </row>
    <row r="703" ht="15.75" customHeight="1">
      <c r="B703" s="12"/>
    </row>
    <row r="704" ht="15.75" customHeight="1">
      <c r="B704" s="12"/>
    </row>
    <row r="705" ht="15.75" customHeight="1">
      <c r="B705" s="12"/>
    </row>
    <row r="706" ht="15.75" customHeight="1">
      <c r="B706" s="12"/>
    </row>
    <row r="707" ht="15.75" customHeight="1">
      <c r="B707" s="12"/>
    </row>
    <row r="708" ht="15.75" customHeight="1">
      <c r="B708" s="12"/>
    </row>
    <row r="709" ht="15.75" customHeight="1">
      <c r="B709" s="12"/>
    </row>
    <row r="710" ht="15.75" customHeight="1">
      <c r="B710" s="12"/>
    </row>
    <row r="711" ht="15.75" customHeight="1">
      <c r="B711" s="12"/>
    </row>
    <row r="712" ht="15.75" customHeight="1">
      <c r="B712" s="12"/>
    </row>
    <row r="713" ht="15.75" customHeight="1">
      <c r="B713" s="12"/>
    </row>
    <row r="714" ht="15.75" customHeight="1">
      <c r="B714" s="12"/>
    </row>
    <row r="715" ht="15.75" customHeight="1">
      <c r="B715" s="12"/>
    </row>
    <row r="716" ht="15.75" customHeight="1">
      <c r="B716" s="12"/>
    </row>
    <row r="717" ht="15.75" customHeight="1">
      <c r="B717" s="12"/>
    </row>
    <row r="718" ht="15.75" customHeight="1">
      <c r="B718" s="12"/>
    </row>
    <row r="719" ht="15.75" customHeight="1">
      <c r="B719" s="12"/>
    </row>
    <row r="720" ht="15.75" customHeight="1">
      <c r="B720" s="12"/>
    </row>
    <row r="721" ht="15.75" customHeight="1">
      <c r="B721" s="12"/>
    </row>
    <row r="722" ht="15.75" customHeight="1">
      <c r="B722" s="12"/>
    </row>
    <row r="723" ht="15.75" customHeight="1">
      <c r="B723" s="12"/>
    </row>
    <row r="724" ht="15.75" customHeight="1">
      <c r="B724" s="12"/>
    </row>
    <row r="725" ht="15.75" customHeight="1">
      <c r="B725" s="12"/>
    </row>
    <row r="726" ht="15.75" customHeight="1">
      <c r="B726" s="12"/>
    </row>
    <row r="727" ht="15.75" customHeight="1">
      <c r="B727" s="12"/>
    </row>
    <row r="728" ht="15.75" customHeight="1">
      <c r="B728" s="12"/>
    </row>
    <row r="729" ht="15.75" customHeight="1">
      <c r="B729" s="12"/>
    </row>
    <row r="730" ht="15.75" customHeight="1">
      <c r="B730" s="12"/>
    </row>
    <row r="731" ht="15.75" customHeight="1">
      <c r="B731" s="12"/>
    </row>
    <row r="732" ht="15.75" customHeight="1">
      <c r="B732" s="12"/>
    </row>
    <row r="733" ht="15.75" customHeight="1">
      <c r="B733" s="12"/>
    </row>
    <row r="734" ht="15.75" customHeight="1">
      <c r="B734" s="12"/>
    </row>
    <row r="735" ht="15.75" customHeight="1">
      <c r="B735" s="12"/>
    </row>
    <row r="736" ht="15.75" customHeight="1">
      <c r="B736" s="12"/>
    </row>
    <row r="737" ht="15.75" customHeight="1">
      <c r="B737" s="12"/>
    </row>
    <row r="738" ht="15.75" customHeight="1">
      <c r="B738" s="12"/>
    </row>
    <row r="739" ht="15.75" customHeight="1">
      <c r="B739" s="12"/>
    </row>
    <row r="740" ht="15.75" customHeight="1">
      <c r="B740" s="12"/>
    </row>
    <row r="741" ht="15.75" customHeight="1">
      <c r="B741" s="12"/>
    </row>
    <row r="742" ht="15.75" customHeight="1">
      <c r="B742" s="12"/>
    </row>
    <row r="743" ht="15.75" customHeight="1">
      <c r="B743" s="12"/>
    </row>
    <row r="744" ht="15.75" customHeight="1">
      <c r="B744" s="12"/>
    </row>
    <row r="745" ht="15.75" customHeight="1">
      <c r="B745" s="12"/>
    </row>
    <row r="746" ht="15.75" customHeight="1">
      <c r="B746" s="12"/>
    </row>
    <row r="747" ht="15.75" customHeight="1">
      <c r="B747" s="12"/>
    </row>
    <row r="748" ht="15.75" customHeight="1">
      <c r="B748" s="12"/>
    </row>
    <row r="749" ht="15.75" customHeight="1">
      <c r="B749" s="12"/>
    </row>
    <row r="750" ht="15.75" customHeight="1">
      <c r="B750" s="12"/>
    </row>
    <row r="751" ht="15.75" customHeight="1">
      <c r="B751" s="12"/>
    </row>
    <row r="752" ht="15.75" customHeight="1">
      <c r="B752" s="12"/>
    </row>
    <row r="753" ht="15.75" customHeight="1">
      <c r="B753" s="12"/>
    </row>
    <row r="754" ht="15.75" customHeight="1">
      <c r="B754" s="12"/>
    </row>
    <row r="755" ht="15.75" customHeight="1">
      <c r="B755" s="12"/>
    </row>
    <row r="756" ht="15.75" customHeight="1">
      <c r="B756" s="12"/>
    </row>
    <row r="757" ht="15.75" customHeight="1">
      <c r="B757" s="12"/>
    </row>
    <row r="758" ht="15.75" customHeight="1">
      <c r="B758" s="12"/>
    </row>
    <row r="759" ht="15.75" customHeight="1">
      <c r="B759" s="12"/>
    </row>
    <row r="760" ht="15.75" customHeight="1">
      <c r="B760" s="12"/>
    </row>
    <row r="761" ht="15.75" customHeight="1">
      <c r="B761" s="12"/>
    </row>
    <row r="762" ht="15.75" customHeight="1">
      <c r="B762" s="12"/>
    </row>
    <row r="763" ht="15.75" customHeight="1">
      <c r="B763" s="12"/>
    </row>
    <row r="764" ht="15.75" customHeight="1">
      <c r="B764" s="12"/>
    </row>
    <row r="765" ht="15.75" customHeight="1">
      <c r="B765" s="12"/>
    </row>
    <row r="766" ht="15.75" customHeight="1">
      <c r="B766" s="12"/>
    </row>
    <row r="767" ht="15.75" customHeight="1">
      <c r="B767" s="12"/>
    </row>
    <row r="768" ht="15.75" customHeight="1">
      <c r="B768" s="12"/>
    </row>
    <row r="769" ht="15.75" customHeight="1">
      <c r="B769" s="12"/>
    </row>
    <row r="770" ht="15.75" customHeight="1">
      <c r="B770" s="12"/>
    </row>
    <row r="771" ht="15.75" customHeight="1">
      <c r="B771" s="12"/>
    </row>
    <row r="772" ht="15.75" customHeight="1">
      <c r="B772" s="12"/>
    </row>
    <row r="773" ht="15.75" customHeight="1">
      <c r="B773" s="12"/>
    </row>
    <row r="774" ht="15.75" customHeight="1">
      <c r="B774" s="12"/>
    </row>
    <row r="775" ht="15.75" customHeight="1">
      <c r="B775" s="12"/>
    </row>
    <row r="776" ht="15.75" customHeight="1">
      <c r="B776" s="12"/>
    </row>
    <row r="777" ht="15.75" customHeight="1">
      <c r="B777" s="12"/>
    </row>
    <row r="778" ht="15.75" customHeight="1">
      <c r="B778" s="12"/>
    </row>
    <row r="779" ht="15.75" customHeight="1">
      <c r="B779" s="12"/>
    </row>
    <row r="780" ht="15.75" customHeight="1">
      <c r="B780" s="12"/>
    </row>
    <row r="781" ht="15.75" customHeight="1">
      <c r="B781" s="12"/>
    </row>
    <row r="782" ht="15.75" customHeight="1">
      <c r="B782" s="12"/>
    </row>
    <row r="783" ht="15.75" customHeight="1">
      <c r="B783" s="12"/>
    </row>
    <row r="784" ht="15.75" customHeight="1">
      <c r="B784" s="12"/>
    </row>
    <row r="785" ht="15.75" customHeight="1">
      <c r="B785" s="12"/>
    </row>
    <row r="786" ht="15.75" customHeight="1">
      <c r="B786" s="12"/>
    </row>
    <row r="787" ht="15.75" customHeight="1">
      <c r="B787" s="12"/>
    </row>
    <row r="788" ht="15.75" customHeight="1">
      <c r="B788" s="12"/>
    </row>
    <row r="789" ht="15.75" customHeight="1">
      <c r="B789" s="12"/>
    </row>
    <row r="790" ht="15.75" customHeight="1">
      <c r="B790" s="12"/>
    </row>
    <row r="791" ht="15.75" customHeight="1">
      <c r="B791" s="12"/>
    </row>
    <row r="792" ht="15.75" customHeight="1">
      <c r="B792" s="12"/>
    </row>
    <row r="793" ht="15.75" customHeight="1">
      <c r="B793" s="12"/>
    </row>
    <row r="794" ht="15.75" customHeight="1">
      <c r="B794" s="12"/>
    </row>
    <row r="795" ht="15.75" customHeight="1">
      <c r="B795" s="12"/>
    </row>
    <row r="796" ht="15.75" customHeight="1">
      <c r="B796" s="12"/>
    </row>
    <row r="797" ht="15.75" customHeight="1">
      <c r="B797" s="12"/>
    </row>
    <row r="798" ht="15.75" customHeight="1">
      <c r="B798" s="12"/>
    </row>
    <row r="799" ht="15.75" customHeight="1">
      <c r="B799" s="12"/>
    </row>
    <row r="800" ht="15.75" customHeight="1">
      <c r="B800" s="12"/>
    </row>
    <row r="801" ht="15.75" customHeight="1">
      <c r="B801" s="12"/>
    </row>
    <row r="802" ht="15.75" customHeight="1">
      <c r="B802" s="12"/>
    </row>
    <row r="803" ht="15.75" customHeight="1">
      <c r="B803" s="12"/>
    </row>
    <row r="804" ht="15.75" customHeight="1">
      <c r="B804" s="12"/>
    </row>
    <row r="805" ht="15.75" customHeight="1">
      <c r="B805" s="12"/>
    </row>
    <row r="806" ht="15.75" customHeight="1">
      <c r="B806" s="12"/>
    </row>
    <row r="807" ht="15.75" customHeight="1">
      <c r="B807" s="12"/>
    </row>
    <row r="808" ht="15.75" customHeight="1">
      <c r="B808" s="12"/>
    </row>
    <row r="809" ht="15.75" customHeight="1">
      <c r="B809" s="12"/>
    </row>
    <row r="810" ht="15.75" customHeight="1">
      <c r="B810" s="12"/>
    </row>
    <row r="811" ht="15.75" customHeight="1">
      <c r="B811" s="12"/>
    </row>
    <row r="812" ht="15.75" customHeight="1">
      <c r="B812" s="12"/>
    </row>
    <row r="813" ht="15.75" customHeight="1">
      <c r="B813" s="12"/>
    </row>
    <row r="814" ht="15.75" customHeight="1">
      <c r="B814" s="12"/>
    </row>
    <row r="815" ht="15.75" customHeight="1">
      <c r="B815" s="12"/>
    </row>
    <row r="816" ht="15.75" customHeight="1">
      <c r="B816" s="12"/>
    </row>
    <row r="817" ht="15.75" customHeight="1">
      <c r="B817" s="12"/>
    </row>
    <row r="818" ht="15.75" customHeight="1">
      <c r="B818" s="12"/>
    </row>
    <row r="819" ht="15.75" customHeight="1">
      <c r="B819" s="12"/>
    </row>
    <row r="820" ht="15.75" customHeight="1">
      <c r="B820" s="12"/>
    </row>
    <row r="821" ht="15.75" customHeight="1">
      <c r="B821" s="12"/>
    </row>
    <row r="822" ht="15.75" customHeight="1">
      <c r="B822" s="12"/>
    </row>
    <row r="823" ht="15.75" customHeight="1">
      <c r="B823" s="12"/>
    </row>
    <row r="824" ht="15.75" customHeight="1">
      <c r="B824" s="12"/>
    </row>
    <row r="825" ht="15.75" customHeight="1">
      <c r="B825" s="12"/>
    </row>
    <row r="826" ht="15.75" customHeight="1">
      <c r="B826" s="12"/>
    </row>
    <row r="827" ht="15.75" customHeight="1">
      <c r="B827" s="12"/>
    </row>
    <row r="828" ht="15.75" customHeight="1">
      <c r="B828" s="12"/>
    </row>
    <row r="829" ht="15.75" customHeight="1">
      <c r="B829" s="12"/>
    </row>
    <row r="830" ht="15.75" customHeight="1">
      <c r="B830" s="12"/>
    </row>
    <row r="831" ht="15.75" customHeight="1">
      <c r="B831" s="12"/>
    </row>
    <row r="832" ht="15.75" customHeight="1">
      <c r="B832" s="12"/>
    </row>
    <row r="833" ht="15.75" customHeight="1">
      <c r="B833" s="12"/>
    </row>
    <row r="834" ht="15.75" customHeight="1">
      <c r="B834" s="12"/>
    </row>
    <row r="835" ht="15.75" customHeight="1">
      <c r="B835" s="12"/>
    </row>
    <row r="836" ht="15.75" customHeight="1">
      <c r="B836" s="12"/>
    </row>
    <row r="837" ht="15.75" customHeight="1">
      <c r="B837" s="12"/>
    </row>
    <row r="838" ht="15.75" customHeight="1">
      <c r="B838" s="12"/>
    </row>
    <row r="839" ht="15.75" customHeight="1">
      <c r="B839" s="12"/>
    </row>
    <row r="840" ht="15.75" customHeight="1">
      <c r="B840" s="12"/>
    </row>
    <row r="841" ht="15.75" customHeight="1">
      <c r="B841" s="12"/>
    </row>
    <row r="842" ht="15.75" customHeight="1">
      <c r="B842" s="12"/>
    </row>
    <row r="843" ht="15.75" customHeight="1">
      <c r="B843" s="12"/>
    </row>
    <row r="844" ht="15.75" customHeight="1">
      <c r="B844" s="12"/>
    </row>
    <row r="845" ht="15.75" customHeight="1">
      <c r="B845" s="12"/>
    </row>
    <row r="846" ht="15.75" customHeight="1">
      <c r="B846" s="12"/>
    </row>
    <row r="847" ht="15.75" customHeight="1">
      <c r="B847" s="12"/>
    </row>
    <row r="848" ht="15.75" customHeight="1">
      <c r="B848" s="12"/>
    </row>
    <row r="849" ht="15.75" customHeight="1">
      <c r="B849" s="12"/>
    </row>
    <row r="850" ht="15.75" customHeight="1">
      <c r="B850" s="12"/>
    </row>
    <row r="851" ht="15.75" customHeight="1">
      <c r="B851" s="12"/>
    </row>
    <row r="852" ht="15.75" customHeight="1">
      <c r="B852" s="12"/>
    </row>
    <row r="853" ht="15.75" customHeight="1">
      <c r="B853" s="12"/>
    </row>
    <row r="854" ht="15.75" customHeight="1">
      <c r="B854" s="12"/>
    </row>
    <row r="855" ht="15.75" customHeight="1">
      <c r="B855" s="12"/>
    </row>
    <row r="856" ht="15.75" customHeight="1">
      <c r="B856" s="12"/>
    </row>
    <row r="857" ht="15.75" customHeight="1">
      <c r="B857" s="12"/>
    </row>
    <row r="858" ht="15.75" customHeight="1">
      <c r="B858" s="12"/>
    </row>
    <row r="859" ht="15.75" customHeight="1">
      <c r="B859" s="12"/>
    </row>
    <row r="860" ht="15.75" customHeight="1">
      <c r="B860" s="12"/>
    </row>
    <row r="861" ht="15.75" customHeight="1">
      <c r="B861" s="12"/>
    </row>
    <row r="862" ht="15.75" customHeight="1">
      <c r="B862" s="12"/>
    </row>
    <row r="863" ht="15.75" customHeight="1">
      <c r="B863" s="12"/>
    </row>
    <row r="864" ht="15.75" customHeight="1">
      <c r="B864" s="12"/>
    </row>
    <row r="865" ht="15.75" customHeight="1">
      <c r="B865" s="12"/>
    </row>
    <row r="866" ht="15.75" customHeight="1">
      <c r="B866" s="12"/>
    </row>
    <row r="867" ht="15.75" customHeight="1">
      <c r="B867" s="12"/>
    </row>
    <row r="868" ht="15.75" customHeight="1">
      <c r="B868" s="12"/>
    </row>
    <row r="869" ht="15.75" customHeight="1">
      <c r="B869" s="12"/>
    </row>
    <row r="870" ht="15.75" customHeight="1">
      <c r="B870" s="12"/>
    </row>
    <row r="871" ht="15.75" customHeight="1">
      <c r="B871" s="12"/>
    </row>
    <row r="872" ht="15.75" customHeight="1">
      <c r="B872" s="12"/>
    </row>
    <row r="873" ht="15.75" customHeight="1">
      <c r="B873" s="12"/>
    </row>
    <row r="874" ht="15.75" customHeight="1">
      <c r="B874" s="12"/>
    </row>
    <row r="875" ht="15.75" customHeight="1">
      <c r="B875" s="12"/>
    </row>
    <row r="876" ht="15.75" customHeight="1">
      <c r="B876" s="12"/>
    </row>
    <row r="877" ht="15.75" customHeight="1">
      <c r="B877" s="12"/>
    </row>
    <row r="878" ht="15.75" customHeight="1">
      <c r="B878" s="12"/>
    </row>
    <row r="879" ht="15.75" customHeight="1">
      <c r="B879" s="12"/>
    </row>
    <row r="880" ht="15.75" customHeight="1">
      <c r="B880" s="12"/>
    </row>
    <row r="881" ht="15.75" customHeight="1">
      <c r="B881" s="12"/>
    </row>
    <row r="882" ht="15.75" customHeight="1">
      <c r="B882" s="12"/>
    </row>
    <row r="883" ht="15.75" customHeight="1">
      <c r="B883" s="12"/>
    </row>
    <row r="884" ht="15.75" customHeight="1">
      <c r="B884" s="12"/>
    </row>
    <row r="885" ht="15.75" customHeight="1">
      <c r="B885" s="12"/>
    </row>
    <row r="886" ht="15.75" customHeight="1">
      <c r="B886" s="12"/>
    </row>
    <row r="887" ht="15.75" customHeight="1">
      <c r="B887" s="12"/>
    </row>
    <row r="888" ht="15.75" customHeight="1">
      <c r="B888" s="12"/>
    </row>
    <row r="889" ht="15.75" customHeight="1">
      <c r="B889" s="12"/>
    </row>
    <row r="890" ht="15.75" customHeight="1">
      <c r="B890" s="12"/>
    </row>
    <row r="891" ht="15.75" customHeight="1">
      <c r="B891" s="12"/>
    </row>
    <row r="892" ht="15.75" customHeight="1">
      <c r="B892" s="12"/>
    </row>
    <row r="893" ht="15.75" customHeight="1">
      <c r="B893" s="12"/>
    </row>
    <row r="894" ht="15.75" customHeight="1">
      <c r="B894" s="12"/>
    </row>
    <row r="895" ht="15.75" customHeight="1">
      <c r="B895" s="12"/>
    </row>
    <row r="896" ht="15.75" customHeight="1">
      <c r="B896" s="12"/>
    </row>
    <row r="897" ht="15.75" customHeight="1">
      <c r="B897" s="12"/>
    </row>
    <row r="898" ht="15.75" customHeight="1">
      <c r="B898" s="12"/>
    </row>
    <row r="899" ht="15.75" customHeight="1">
      <c r="B899" s="12"/>
    </row>
    <row r="900" ht="15.75" customHeight="1">
      <c r="B900" s="12"/>
    </row>
    <row r="901" ht="15.75" customHeight="1">
      <c r="B901" s="12"/>
    </row>
    <row r="902" ht="15.75" customHeight="1">
      <c r="B902" s="12"/>
    </row>
    <row r="903" ht="15.75" customHeight="1">
      <c r="B903" s="12"/>
    </row>
    <row r="904" ht="15.75" customHeight="1">
      <c r="B904" s="12"/>
    </row>
    <row r="905" ht="15.75" customHeight="1">
      <c r="B905" s="12"/>
    </row>
    <row r="906" ht="15.75" customHeight="1">
      <c r="B906" s="12"/>
    </row>
    <row r="907" ht="15.75" customHeight="1">
      <c r="B907" s="12"/>
    </row>
    <row r="908" ht="15.75" customHeight="1">
      <c r="B908" s="12"/>
    </row>
    <row r="909" ht="15.75" customHeight="1">
      <c r="B909" s="12"/>
    </row>
    <row r="910" ht="15.75" customHeight="1">
      <c r="B910" s="12"/>
    </row>
    <row r="911" ht="15.75" customHeight="1">
      <c r="B911" s="12"/>
    </row>
    <row r="912" ht="15.75" customHeight="1">
      <c r="B912" s="12"/>
    </row>
    <row r="913" ht="15.75" customHeight="1">
      <c r="B913" s="12"/>
    </row>
    <row r="914" ht="15.75" customHeight="1">
      <c r="B914" s="12"/>
    </row>
    <row r="915" ht="15.75" customHeight="1">
      <c r="B915" s="12"/>
    </row>
    <row r="916" ht="15.75" customHeight="1">
      <c r="B916" s="12"/>
    </row>
    <row r="917" ht="15.75" customHeight="1">
      <c r="B917" s="12"/>
    </row>
    <row r="918" ht="15.75" customHeight="1">
      <c r="B918" s="12"/>
    </row>
    <row r="919" ht="15.75" customHeight="1">
      <c r="B919" s="12"/>
    </row>
    <row r="920" ht="15.75" customHeight="1">
      <c r="B920" s="12"/>
    </row>
    <row r="921" ht="15.75" customHeight="1">
      <c r="B921" s="12"/>
    </row>
    <row r="922" ht="15.75" customHeight="1">
      <c r="B922" s="12"/>
    </row>
    <row r="923" ht="15.75" customHeight="1">
      <c r="B923" s="12"/>
    </row>
    <row r="924" ht="15.75" customHeight="1">
      <c r="B924" s="12"/>
    </row>
    <row r="925" ht="15.75" customHeight="1">
      <c r="B925" s="12"/>
    </row>
    <row r="926" ht="15.75" customHeight="1">
      <c r="B926" s="12"/>
    </row>
    <row r="927" ht="15.75" customHeight="1">
      <c r="B927" s="12"/>
    </row>
    <row r="928" ht="15.75" customHeight="1">
      <c r="B928" s="12"/>
    </row>
    <row r="929" ht="15.75" customHeight="1">
      <c r="B929" s="12"/>
    </row>
    <row r="930" ht="15.75" customHeight="1">
      <c r="B930" s="12"/>
    </row>
    <row r="931" ht="15.75" customHeight="1">
      <c r="B931" s="12"/>
    </row>
    <row r="932" ht="15.75" customHeight="1">
      <c r="B932" s="12"/>
    </row>
    <row r="933" ht="15.75" customHeight="1">
      <c r="B933" s="12"/>
    </row>
    <row r="934" ht="15.75" customHeight="1">
      <c r="B934" s="12"/>
    </row>
    <row r="935" ht="15.75" customHeight="1">
      <c r="B935" s="12"/>
    </row>
    <row r="936" ht="15.75" customHeight="1">
      <c r="B936" s="12"/>
    </row>
    <row r="937" ht="15.75" customHeight="1">
      <c r="B937" s="12"/>
    </row>
    <row r="938" ht="15.75" customHeight="1">
      <c r="B938" s="12"/>
    </row>
    <row r="939" ht="15.75" customHeight="1">
      <c r="B939" s="12"/>
    </row>
    <row r="940" ht="15.75" customHeight="1">
      <c r="B940" s="12"/>
    </row>
    <row r="941" ht="15.75" customHeight="1">
      <c r="B941" s="12"/>
    </row>
    <row r="942" ht="15.75" customHeight="1">
      <c r="B942" s="12"/>
    </row>
    <row r="943" ht="15.75" customHeight="1">
      <c r="B943" s="12"/>
    </row>
    <row r="944" ht="15.75" customHeight="1">
      <c r="B944" s="12"/>
    </row>
    <row r="945" ht="15.75" customHeight="1">
      <c r="B945" s="12"/>
    </row>
    <row r="946" ht="15.75" customHeight="1">
      <c r="B946" s="12"/>
    </row>
    <row r="947" ht="15.75" customHeight="1">
      <c r="B947" s="12"/>
    </row>
    <row r="948" ht="15.75" customHeight="1">
      <c r="B948" s="12"/>
    </row>
    <row r="949" ht="15.75" customHeight="1">
      <c r="B949" s="12"/>
    </row>
    <row r="950" ht="15.75" customHeight="1">
      <c r="B950" s="12"/>
    </row>
    <row r="951" ht="15.75" customHeight="1">
      <c r="B951" s="12"/>
    </row>
    <row r="952" ht="15.75" customHeight="1">
      <c r="B952" s="12"/>
    </row>
    <row r="953" ht="15.75" customHeight="1">
      <c r="B953" s="12"/>
    </row>
    <row r="954" ht="15.75" customHeight="1">
      <c r="B954" s="12"/>
    </row>
    <row r="955" ht="15.75" customHeight="1">
      <c r="B955" s="12"/>
    </row>
    <row r="956" ht="15.75" customHeight="1">
      <c r="B956" s="12"/>
    </row>
    <row r="957" ht="15.75" customHeight="1">
      <c r="B957" s="12"/>
    </row>
    <row r="958" ht="15.75" customHeight="1">
      <c r="B958" s="12"/>
    </row>
    <row r="959" ht="15.75" customHeight="1">
      <c r="B959" s="12"/>
    </row>
    <row r="960" ht="15.75" customHeight="1">
      <c r="B960" s="12"/>
    </row>
    <row r="961" ht="15.75" customHeight="1">
      <c r="B961" s="12"/>
    </row>
    <row r="962" ht="15.75" customHeight="1">
      <c r="B962" s="12"/>
    </row>
    <row r="963" ht="15.75" customHeight="1">
      <c r="B963" s="12"/>
    </row>
    <row r="964" ht="15.75" customHeight="1">
      <c r="B964" s="12"/>
    </row>
    <row r="965" ht="15.75" customHeight="1">
      <c r="B965" s="12"/>
    </row>
    <row r="966" ht="15.75" customHeight="1">
      <c r="B966" s="12"/>
    </row>
    <row r="967" ht="15.75" customHeight="1">
      <c r="B967" s="12"/>
    </row>
    <row r="968" ht="15.75" customHeight="1">
      <c r="B968" s="12"/>
    </row>
    <row r="969" ht="15.75" customHeight="1">
      <c r="B969" s="12"/>
    </row>
    <row r="970" ht="15.75" customHeight="1">
      <c r="B970" s="12"/>
    </row>
    <row r="971" ht="15.75" customHeight="1">
      <c r="B971" s="12"/>
    </row>
    <row r="972" ht="15.75" customHeight="1">
      <c r="B972" s="12"/>
    </row>
    <row r="973" ht="15.75" customHeight="1">
      <c r="B973" s="12"/>
    </row>
    <row r="974" ht="15.75" customHeight="1">
      <c r="B974" s="12"/>
    </row>
    <row r="975" ht="15.75" customHeight="1">
      <c r="B975" s="12"/>
    </row>
    <row r="976" ht="15.75" customHeight="1">
      <c r="B976" s="12"/>
    </row>
    <row r="977" ht="15.75" customHeight="1">
      <c r="B977" s="12"/>
    </row>
    <row r="978" ht="15.75" customHeight="1">
      <c r="B978" s="12"/>
    </row>
    <row r="979" ht="15.75" customHeight="1">
      <c r="B979" s="12"/>
    </row>
    <row r="980" ht="15.75" customHeight="1">
      <c r="B980" s="12"/>
    </row>
    <row r="981" ht="15.75" customHeight="1">
      <c r="B981" s="12"/>
    </row>
    <row r="982" ht="15.75" customHeight="1">
      <c r="B982" s="12"/>
    </row>
    <row r="983" ht="15.75" customHeight="1">
      <c r="B983" s="12"/>
    </row>
    <row r="984" ht="15.75" customHeight="1">
      <c r="B984" s="12"/>
    </row>
    <row r="985" ht="15.75" customHeight="1">
      <c r="B985" s="12"/>
    </row>
    <row r="986" ht="15.75" customHeight="1">
      <c r="B986" s="12"/>
    </row>
    <row r="987" ht="15.75" customHeight="1">
      <c r="B987" s="12"/>
    </row>
    <row r="988" ht="15.75" customHeight="1">
      <c r="B988" s="12"/>
    </row>
    <row r="989" ht="15.75" customHeight="1">
      <c r="B989" s="12"/>
    </row>
    <row r="990" ht="15.75" customHeight="1">
      <c r="B990" s="12"/>
    </row>
    <row r="991" ht="15.75" customHeight="1">
      <c r="B991" s="12"/>
    </row>
    <row r="992" ht="15.75" customHeight="1">
      <c r="B992" s="12"/>
    </row>
    <row r="993" ht="15.75" customHeight="1">
      <c r="B993" s="12"/>
    </row>
    <row r="994" ht="15.75" customHeight="1">
      <c r="B994" s="12"/>
    </row>
    <row r="995" ht="15.75" customHeight="1">
      <c r="B995" s="12"/>
    </row>
    <row r="996" ht="15.75" customHeight="1">
      <c r="B996" s="12"/>
    </row>
    <row r="997" ht="15.75" customHeight="1">
      <c r="B997" s="12"/>
    </row>
    <row r="998" ht="15.75" customHeight="1">
      <c r="B998" s="12"/>
    </row>
    <row r="999" ht="15.75" customHeight="1">
      <c r="B999" s="12"/>
    </row>
  </sheetData>
  <mergeCells count="4">
    <mergeCell ref="B14:C14"/>
    <mergeCell ref="A23:A24"/>
    <mergeCell ref="B23:C24"/>
    <mergeCell ref="B26:C26"/>
  </mergeCells>
  <conditionalFormatting sqref="B3:B9">
    <cfRule type="colorScale" priority="1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conditionalFormatting sqref="B12">
    <cfRule type="colorScale" priority="2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38.0"/>
    <col customWidth="1" min="3" max="3" width="19.71"/>
    <col customWidth="1" min="4" max="4" width="15.14"/>
    <col customWidth="1" min="5" max="5" width="85.43"/>
    <col customWidth="1" min="6" max="6" width="34.14"/>
    <col customWidth="1" min="7" max="7" width="38.0"/>
  </cols>
  <sheetData>
    <row r="1">
      <c r="A1" s="3"/>
      <c r="B1" s="3"/>
      <c r="C1" s="22"/>
      <c r="D1" s="3"/>
      <c r="E1" s="3"/>
      <c r="F1" s="3"/>
      <c r="G1" s="3"/>
    </row>
    <row r="2">
      <c r="A2" s="23" t="s">
        <v>3</v>
      </c>
      <c r="B2" s="24" t="s">
        <v>80</v>
      </c>
      <c r="C2" s="25" t="s">
        <v>81</v>
      </c>
      <c r="D2" s="24" t="s">
        <v>82</v>
      </c>
      <c r="E2" s="26" t="s">
        <v>83</v>
      </c>
      <c r="F2" s="26" t="s">
        <v>84</v>
      </c>
      <c r="G2" s="26" t="s">
        <v>85</v>
      </c>
    </row>
    <row r="3" ht="16.5" customHeight="1">
      <c r="A3" s="27" t="s">
        <v>4</v>
      </c>
      <c r="B3" s="28" t="s">
        <v>86</v>
      </c>
      <c r="C3" s="29">
        <v>8.0</v>
      </c>
      <c r="D3" s="26" t="s">
        <v>87</v>
      </c>
      <c r="E3" s="30" t="s">
        <v>88</v>
      </c>
      <c r="F3" s="28" t="s">
        <v>89</v>
      </c>
      <c r="G3" s="28" t="s">
        <v>90</v>
      </c>
    </row>
    <row r="4" ht="16.5" customHeight="1">
      <c r="A4" s="31"/>
      <c r="B4" s="31"/>
      <c r="C4" s="31"/>
      <c r="D4" s="26" t="s">
        <v>91</v>
      </c>
      <c r="E4" s="30" t="s">
        <v>92</v>
      </c>
      <c r="F4" s="31"/>
      <c r="G4" s="31"/>
    </row>
    <row r="5" ht="16.5" customHeight="1">
      <c r="A5" s="32"/>
      <c r="B5" s="32"/>
      <c r="C5" s="32"/>
      <c r="D5" s="26" t="s">
        <v>93</v>
      </c>
      <c r="E5" s="30" t="s">
        <v>94</v>
      </c>
      <c r="F5" s="32"/>
      <c r="G5" s="32"/>
    </row>
    <row r="6" ht="14.25" customHeight="1">
      <c r="A6" s="27" t="s">
        <v>95</v>
      </c>
      <c r="B6" s="28" t="s">
        <v>96</v>
      </c>
      <c r="C6" s="33">
        <v>4.0</v>
      </c>
      <c r="D6" s="26" t="s">
        <v>87</v>
      </c>
      <c r="E6" s="30" t="s">
        <v>97</v>
      </c>
      <c r="F6" s="28" t="s">
        <v>98</v>
      </c>
      <c r="G6" s="28" t="s">
        <v>99</v>
      </c>
    </row>
    <row r="7" ht="12.75" customHeight="1">
      <c r="A7" s="31"/>
      <c r="B7" s="31"/>
      <c r="C7" s="31"/>
      <c r="D7" s="26" t="s">
        <v>91</v>
      </c>
      <c r="E7" s="30" t="s">
        <v>100</v>
      </c>
      <c r="F7" s="31"/>
      <c r="G7" s="31"/>
    </row>
    <row r="8" ht="14.25" customHeight="1">
      <c r="A8" s="32"/>
      <c r="B8" s="32"/>
      <c r="C8" s="32"/>
      <c r="D8" s="26" t="s">
        <v>93</v>
      </c>
      <c r="E8" s="30" t="s">
        <v>101</v>
      </c>
      <c r="F8" s="32"/>
      <c r="G8" s="32"/>
    </row>
    <row r="9" ht="12.0" customHeight="1">
      <c r="A9" s="27" t="s">
        <v>102</v>
      </c>
      <c r="B9" s="28" t="s">
        <v>103</v>
      </c>
      <c r="C9" s="33">
        <v>2.0</v>
      </c>
      <c r="D9" s="26" t="s">
        <v>87</v>
      </c>
      <c r="E9" s="30" t="s">
        <v>104</v>
      </c>
      <c r="F9" s="28" t="s">
        <v>105</v>
      </c>
      <c r="G9" s="28" t="s">
        <v>106</v>
      </c>
    </row>
    <row r="10" ht="15.75" customHeight="1">
      <c r="A10" s="31"/>
      <c r="B10" s="31"/>
      <c r="C10" s="31"/>
      <c r="D10" s="26" t="s">
        <v>91</v>
      </c>
      <c r="E10" s="30" t="s">
        <v>107</v>
      </c>
      <c r="F10" s="31"/>
      <c r="G10" s="31"/>
    </row>
    <row r="11" ht="15.0" customHeight="1">
      <c r="A11" s="32"/>
      <c r="B11" s="32"/>
      <c r="C11" s="32"/>
      <c r="D11" s="26" t="s">
        <v>93</v>
      </c>
      <c r="E11" s="30" t="s">
        <v>108</v>
      </c>
      <c r="F11" s="32"/>
      <c r="G11" s="32"/>
    </row>
    <row r="12">
      <c r="A12" s="27" t="s">
        <v>109</v>
      </c>
      <c r="B12" s="28" t="s">
        <v>110</v>
      </c>
      <c r="C12" s="33">
        <v>1.0</v>
      </c>
      <c r="D12" s="26" t="s">
        <v>87</v>
      </c>
      <c r="E12" s="30" t="s">
        <v>111</v>
      </c>
      <c r="F12" s="28" t="s">
        <v>112</v>
      </c>
      <c r="G12" s="28" t="s">
        <v>113</v>
      </c>
    </row>
    <row r="13" ht="14.25" customHeight="1">
      <c r="A13" s="31"/>
      <c r="B13" s="31"/>
      <c r="C13" s="31"/>
      <c r="D13" s="26" t="s">
        <v>91</v>
      </c>
      <c r="E13" s="30" t="s">
        <v>114</v>
      </c>
      <c r="F13" s="31"/>
      <c r="G13" s="31"/>
    </row>
    <row r="14">
      <c r="A14" s="32"/>
      <c r="B14" s="32"/>
      <c r="C14" s="32"/>
      <c r="D14" s="26" t="s">
        <v>93</v>
      </c>
      <c r="E14" s="30" t="s">
        <v>115</v>
      </c>
      <c r="F14" s="32"/>
      <c r="G14" s="32"/>
    </row>
    <row r="15">
      <c r="A15" s="27" t="s">
        <v>7</v>
      </c>
      <c r="B15" s="28" t="s">
        <v>116</v>
      </c>
      <c r="C15" s="33">
        <v>10.0</v>
      </c>
      <c r="D15" s="26" t="s">
        <v>87</v>
      </c>
      <c r="E15" s="30" t="s">
        <v>117</v>
      </c>
      <c r="F15" s="28" t="s">
        <v>118</v>
      </c>
      <c r="G15" s="28" t="s">
        <v>119</v>
      </c>
    </row>
    <row r="16">
      <c r="A16" s="31"/>
      <c r="B16" s="31"/>
      <c r="C16" s="31"/>
      <c r="D16" s="26" t="s">
        <v>91</v>
      </c>
      <c r="E16" s="30" t="s">
        <v>120</v>
      </c>
      <c r="F16" s="31"/>
      <c r="G16" s="31"/>
    </row>
    <row r="17">
      <c r="A17" s="32"/>
      <c r="B17" s="32"/>
      <c r="C17" s="32"/>
      <c r="D17" s="26" t="s">
        <v>93</v>
      </c>
      <c r="E17" s="30" t="s">
        <v>121</v>
      </c>
      <c r="F17" s="32"/>
      <c r="G17" s="32"/>
    </row>
    <row r="18">
      <c r="A18" s="27" t="s">
        <v>122</v>
      </c>
      <c r="B18" s="28" t="s">
        <v>123</v>
      </c>
      <c r="C18" s="33">
        <v>2.0</v>
      </c>
      <c r="D18" s="26" t="s">
        <v>87</v>
      </c>
      <c r="E18" s="30" t="s">
        <v>124</v>
      </c>
      <c r="F18" s="28" t="s">
        <v>125</v>
      </c>
      <c r="G18" s="28" t="s">
        <v>126</v>
      </c>
    </row>
    <row r="19">
      <c r="A19" s="31"/>
      <c r="B19" s="31"/>
      <c r="C19" s="31"/>
      <c r="D19" s="26" t="s">
        <v>91</v>
      </c>
      <c r="E19" s="30" t="s">
        <v>127</v>
      </c>
      <c r="F19" s="31"/>
      <c r="G19" s="31"/>
    </row>
    <row r="20">
      <c r="A20" s="32"/>
      <c r="B20" s="32"/>
      <c r="C20" s="32"/>
      <c r="D20" s="26" t="s">
        <v>93</v>
      </c>
      <c r="E20" s="30" t="s">
        <v>128</v>
      </c>
      <c r="F20" s="32"/>
      <c r="G20" s="32"/>
    </row>
    <row r="21">
      <c r="A21" s="27" t="s">
        <v>129</v>
      </c>
      <c r="B21" s="28" t="s">
        <v>130</v>
      </c>
      <c r="C21" s="33">
        <v>3.0</v>
      </c>
      <c r="D21" s="26" t="s">
        <v>87</v>
      </c>
      <c r="E21" s="30" t="s">
        <v>131</v>
      </c>
      <c r="F21" s="28" t="s">
        <v>132</v>
      </c>
      <c r="G21" s="28" t="s">
        <v>133</v>
      </c>
    </row>
    <row r="22" ht="14.25" customHeight="1">
      <c r="A22" s="31"/>
      <c r="B22" s="31"/>
      <c r="C22" s="31"/>
      <c r="D22" s="26" t="s">
        <v>91</v>
      </c>
      <c r="E22" s="30" t="s">
        <v>134</v>
      </c>
      <c r="F22" s="31"/>
      <c r="G22" s="31"/>
    </row>
    <row r="23">
      <c r="A23" s="32"/>
      <c r="B23" s="32"/>
      <c r="C23" s="32"/>
      <c r="D23" s="26" t="s">
        <v>93</v>
      </c>
      <c r="E23" s="30" t="s">
        <v>135</v>
      </c>
      <c r="F23" s="32"/>
      <c r="G23" s="32"/>
    </row>
    <row r="24">
      <c r="A24" s="27" t="s">
        <v>136</v>
      </c>
      <c r="B24" s="28" t="s">
        <v>137</v>
      </c>
      <c r="C24" s="33">
        <v>6.0</v>
      </c>
      <c r="D24" s="26" t="s">
        <v>87</v>
      </c>
      <c r="E24" s="30" t="s">
        <v>138</v>
      </c>
      <c r="F24" s="28" t="s">
        <v>139</v>
      </c>
      <c r="G24" s="28" t="s">
        <v>140</v>
      </c>
    </row>
    <row r="25">
      <c r="A25" s="31"/>
      <c r="B25" s="31"/>
      <c r="C25" s="31"/>
      <c r="D25" s="26" t="s">
        <v>91</v>
      </c>
      <c r="E25" s="30" t="s">
        <v>141</v>
      </c>
      <c r="F25" s="31"/>
      <c r="G25" s="31"/>
    </row>
    <row r="26">
      <c r="A26" s="32"/>
      <c r="B26" s="32"/>
      <c r="C26" s="32"/>
      <c r="D26" s="26" t="s">
        <v>93</v>
      </c>
      <c r="E26" s="30" t="s">
        <v>142</v>
      </c>
      <c r="F26" s="32"/>
      <c r="G26" s="32"/>
    </row>
    <row r="27" ht="18.75" customHeight="1">
      <c r="A27" s="27" t="s">
        <v>143</v>
      </c>
      <c r="B27" s="28" t="s">
        <v>144</v>
      </c>
      <c r="C27" s="33">
        <v>4.0</v>
      </c>
      <c r="D27" s="26" t="s">
        <v>87</v>
      </c>
      <c r="E27" s="30" t="s">
        <v>145</v>
      </c>
      <c r="F27" s="28" t="s">
        <v>146</v>
      </c>
      <c r="G27" s="28" t="s">
        <v>147</v>
      </c>
    </row>
    <row r="28" ht="15.75" customHeight="1">
      <c r="A28" s="31"/>
      <c r="B28" s="31"/>
      <c r="C28" s="31"/>
      <c r="D28" s="26" t="s">
        <v>91</v>
      </c>
      <c r="E28" s="30" t="s">
        <v>148</v>
      </c>
      <c r="F28" s="31"/>
      <c r="G28" s="31"/>
    </row>
    <row r="29" ht="18.75" customHeight="1">
      <c r="A29" s="32"/>
      <c r="B29" s="32"/>
      <c r="C29" s="32"/>
      <c r="D29" s="26" t="s">
        <v>93</v>
      </c>
      <c r="E29" s="30" t="s">
        <v>149</v>
      </c>
      <c r="F29" s="32"/>
      <c r="G29" s="32"/>
    </row>
    <row r="30">
      <c r="A30" s="27" t="s">
        <v>150</v>
      </c>
      <c r="B30" s="28" t="s">
        <v>151</v>
      </c>
      <c r="C30" s="33">
        <v>3.0</v>
      </c>
      <c r="D30" s="26" t="s">
        <v>87</v>
      </c>
      <c r="E30" s="30" t="s">
        <v>152</v>
      </c>
      <c r="F30" s="28" t="s">
        <v>153</v>
      </c>
      <c r="G30" s="28" t="s">
        <v>154</v>
      </c>
    </row>
    <row r="31">
      <c r="A31" s="31"/>
      <c r="B31" s="31"/>
      <c r="C31" s="31"/>
      <c r="D31" s="26" t="s">
        <v>91</v>
      </c>
      <c r="E31" s="30" t="s">
        <v>155</v>
      </c>
      <c r="F31" s="31"/>
      <c r="G31" s="31"/>
    </row>
    <row r="32">
      <c r="A32" s="32"/>
      <c r="B32" s="32"/>
      <c r="C32" s="32"/>
      <c r="D32" s="26" t="s">
        <v>93</v>
      </c>
      <c r="E32" s="30" t="s">
        <v>156</v>
      </c>
      <c r="F32" s="32"/>
      <c r="G32" s="32"/>
    </row>
    <row r="33">
      <c r="A33" s="27" t="s">
        <v>157</v>
      </c>
      <c r="B33" s="28" t="s">
        <v>158</v>
      </c>
      <c r="C33" s="33">
        <v>1.0</v>
      </c>
      <c r="D33" s="26" t="s">
        <v>87</v>
      </c>
      <c r="E33" s="30" t="s">
        <v>159</v>
      </c>
      <c r="F33" s="28" t="s">
        <v>160</v>
      </c>
      <c r="G33" s="28" t="s">
        <v>161</v>
      </c>
    </row>
    <row r="34">
      <c r="A34" s="31"/>
      <c r="B34" s="31"/>
      <c r="C34" s="31"/>
      <c r="D34" s="26" t="s">
        <v>91</v>
      </c>
      <c r="E34" s="30" t="s">
        <v>162</v>
      </c>
      <c r="F34" s="31"/>
      <c r="G34" s="31"/>
    </row>
    <row r="35">
      <c r="A35" s="32"/>
      <c r="B35" s="32"/>
      <c r="C35" s="32"/>
      <c r="D35" s="26" t="s">
        <v>93</v>
      </c>
      <c r="E35" s="30" t="s">
        <v>163</v>
      </c>
      <c r="F35" s="32"/>
      <c r="G35" s="32"/>
    </row>
    <row r="36">
      <c r="A36" s="34"/>
      <c r="B36" s="35"/>
      <c r="C36" s="36"/>
      <c r="D36" s="35"/>
      <c r="E36" s="35"/>
      <c r="F36" s="35"/>
      <c r="G36" s="35"/>
    </row>
    <row r="37" ht="14.25" customHeight="1">
      <c r="A37" s="37" t="s">
        <v>10</v>
      </c>
      <c r="B37" s="24" t="s">
        <v>80</v>
      </c>
      <c r="C37" s="25" t="s">
        <v>81</v>
      </c>
      <c r="D37" s="24" t="s">
        <v>82</v>
      </c>
      <c r="E37" s="26" t="s">
        <v>83</v>
      </c>
      <c r="F37" s="26" t="s">
        <v>84</v>
      </c>
      <c r="G37" s="26" t="s">
        <v>85</v>
      </c>
    </row>
    <row r="38" ht="15.75" customHeight="1">
      <c r="A38" s="27" t="s">
        <v>157</v>
      </c>
      <c r="B38" s="28" t="s">
        <v>164</v>
      </c>
      <c r="C38" s="38">
        <v>5.0</v>
      </c>
      <c r="D38" s="26" t="s">
        <v>87</v>
      </c>
      <c r="E38" s="39" t="s">
        <v>165</v>
      </c>
      <c r="F38" s="28" t="s">
        <v>160</v>
      </c>
      <c r="G38" s="28" t="s">
        <v>161</v>
      </c>
    </row>
    <row r="39">
      <c r="A39" s="31"/>
      <c r="B39" s="31"/>
      <c r="C39" s="31"/>
      <c r="D39" s="26" t="s">
        <v>91</v>
      </c>
      <c r="E39" s="39" t="s">
        <v>166</v>
      </c>
      <c r="F39" s="31"/>
      <c r="G39" s="31"/>
    </row>
    <row r="40">
      <c r="A40" s="32"/>
      <c r="B40" s="32"/>
      <c r="C40" s="32"/>
      <c r="D40" s="26" t="s">
        <v>93</v>
      </c>
      <c r="E40" s="39" t="s">
        <v>167</v>
      </c>
      <c r="F40" s="32"/>
      <c r="G40" s="32"/>
    </row>
    <row r="41" ht="18.0" customHeight="1">
      <c r="A41" s="27" t="s">
        <v>168</v>
      </c>
      <c r="B41" s="28" t="s">
        <v>169</v>
      </c>
      <c r="C41" s="38">
        <v>4.0</v>
      </c>
      <c r="D41" s="26" t="s">
        <v>87</v>
      </c>
      <c r="E41" s="39" t="s">
        <v>170</v>
      </c>
      <c r="F41" s="28" t="s">
        <v>171</v>
      </c>
      <c r="G41" s="28" t="s">
        <v>172</v>
      </c>
    </row>
    <row r="42" ht="15.75" customHeight="1">
      <c r="A42" s="31"/>
      <c r="B42" s="31"/>
      <c r="C42" s="31"/>
      <c r="D42" s="26" t="s">
        <v>91</v>
      </c>
      <c r="E42" s="39" t="s">
        <v>173</v>
      </c>
      <c r="F42" s="31"/>
      <c r="G42" s="31"/>
    </row>
    <row r="43" ht="14.25" customHeight="1">
      <c r="A43" s="32"/>
      <c r="B43" s="32"/>
      <c r="C43" s="32"/>
      <c r="D43" s="26" t="s">
        <v>93</v>
      </c>
      <c r="E43" s="39" t="s">
        <v>174</v>
      </c>
      <c r="F43" s="32"/>
      <c r="G43" s="32"/>
    </row>
    <row r="44" ht="18.0" customHeight="1">
      <c r="A44" s="27" t="s">
        <v>175</v>
      </c>
      <c r="B44" s="28" t="s">
        <v>176</v>
      </c>
      <c r="C44" s="38">
        <v>3.0</v>
      </c>
      <c r="D44" s="26" t="s">
        <v>87</v>
      </c>
      <c r="E44" s="39" t="s">
        <v>177</v>
      </c>
      <c r="F44" s="28" t="s">
        <v>178</v>
      </c>
      <c r="G44" s="28" t="s">
        <v>179</v>
      </c>
    </row>
    <row r="45" ht="15.0" customHeight="1">
      <c r="A45" s="31"/>
      <c r="B45" s="31"/>
      <c r="C45" s="31"/>
      <c r="D45" s="26" t="s">
        <v>91</v>
      </c>
      <c r="E45" s="39" t="s">
        <v>180</v>
      </c>
      <c r="F45" s="31"/>
      <c r="G45" s="31"/>
    </row>
    <row r="46" ht="18.75" customHeight="1">
      <c r="A46" s="32"/>
      <c r="B46" s="32"/>
      <c r="C46" s="32"/>
      <c r="D46" s="26" t="s">
        <v>93</v>
      </c>
      <c r="E46" s="39" t="s">
        <v>181</v>
      </c>
      <c r="F46" s="32"/>
      <c r="G46" s="32"/>
    </row>
    <row r="47" ht="16.5" customHeight="1">
      <c r="A47" s="27" t="s">
        <v>182</v>
      </c>
      <c r="B47" s="28" t="s">
        <v>183</v>
      </c>
      <c r="C47" s="38">
        <v>1.0</v>
      </c>
      <c r="D47" s="26" t="s">
        <v>87</v>
      </c>
      <c r="E47" s="39" t="s">
        <v>184</v>
      </c>
      <c r="F47" s="28" t="s">
        <v>185</v>
      </c>
      <c r="G47" s="28" t="s">
        <v>186</v>
      </c>
    </row>
    <row r="48" ht="13.5" customHeight="1">
      <c r="A48" s="31"/>
      <c r="B48" s="31"/>
      <c r="C48" s="31"/>
      <c r="D48" s="26" t="s">
        <v>91</v>
      </c>
      <c r="E48" s="39" t="s">
        <v>187</v>
      </c>
      <c r="F48" s="31"/>
      <c r="G48" s="31"/>
    </row>
    <row r="49" ht="18.75" customHeight="1">
      <c r="A49" s="32"/>
      <c r="B49" s="32"/>
      <c r="C49" s="32"/>
      <c r="D49" s="26" t="s">
        <v>93</v>
      </c>
      <c r="E49" s="39" t="s">
        <v>188</v>
      </c>
      <c r="F49" s="32"/>
      <c r="G49" s="32"/>
    </row>
    <row r="50" ht="20.25" customHeight="1">
      <c r="A50" s="27" t="s">
        <v>189</v>
      </c>
      <c r="B50" s="28" t="s">
        <v>190</v>
      </c>
      <c r="C50" s="38">
        <v>4.0</v>
      </c>
      <c r="D50" s="26" t="s">
        <v>87</v>
      </c>
      <c r="E50" s="39" t="s">
        <v>191</v>
      </c>
      <c r="F50" s="28" t="s">
        <v>192</v>
      </c>
      <c r="G50" s="28" t="s">
        <v>193</v>
      </c>
    </row>
    <row r="51" ht="21.75" customHeight="1">
      <c r="A51" s="31"/>
      <c r="B51" s="31"/>
      <c r="C51" s="31"/>
      <c r="D51" s="26" t="s">
        <v>91</v>
      </c>
      <c r="E51" s="39" t="s">
        <v>194</v>
      </c>
      <c r="F51" s="31"/>
      <c r="G51" s="31"/>
    </row>
    <row r="52" ht="13.5" customHeight="1">
      <c r="A52" s="32"/>
      <c r="B52" s="32"/>
      <c r="C52" s="32"/>
      <c r="D52" s="26" t="s">
        <v>93</v>
      </c>
      <c r="E52" s="39" t="s">
        <v>195</v>
      </c>
      <c r="F52" s="32"/>
      <c r="G52" s="32"/>
    </row>
    <row r="53" ht="17.25" customHeight="1">
      <c r="A53" s="27" t="s">
        <v>196</v>
      </c>
      <c r="B53" s="28" t="s">
        <v>197</v>
      </c>
      <c r="C53" s="38">
        <v>10.0</v>
      </c>
      <c r="D53" s="26" t="s">
        <v>87</v>
      </c>
      <c r="E53" s="39" t="s">
        <v>198</v>
      </c>
      <c r="F53" s="28" t="s">
        <v>199</v>
      </c>
      <c r="G53" s="28" t="s">
        <v>200</v>
      </c>
    </row>
    <row r="54" ht="19.5" customHeight="1">
      <c r="A54" s="31"/>
      <c r="B54" s="31"/>
      <c r="C54" s="31"/>
      <c r="D54" s="26" t="s">
        <v>91</v>
      </c>
      <c r="E54" s="39" t="s">
        <v>201</v>
      </c>
      <c r="F54" s="31"/>
      <c r="G54" s="31"/>
    </row>
    <row r="55" ht="15.75" customHeight="1">
      <c r="A55" s="32"/>
      <c r="B55" s="32"/>
      <c r="C55" s="32"/>
      <c r="D55" s="26" t="s">
        <v>93</v>
      </c>
      <c r="E55" s="39" t="s">
        <v>202</v>
      </c>
      <c r="F55" s="32"/>
      <c r="G55" s="32"/>
    </row>
    <row r="56">
      <c r="A56" s="27" t="s">
        <v>203</v>
      </c>
      <c r="B56" s="28" t="s">
        <v>204</v>
      </c>
      <c r="C56" s="38">
        <v>1.0</v>
      </c>
      <c r="D56" s="26" t="s">
        <v>87</v>
      </c>
      <c r="E56" s="39" t="s">
        <v>205</v>
      </c>
      <c r="F56" s="28" t="s">
        <v>206</v>
      </c>
      <c r="G56" s="28" t="s">
        <v>207</v>
      </c>
    </row>
    <row r="57">
      <c r="A57" s="31"/>
      <c r="B57" s="31"/>
      <c r="C57" s="31"/>
      <c r="D57" s="26" t="s">
        <v>91</v>
      </c>
      <c r="E57" s="39" t="s">
        <v>208</v>
      </c>
      <c r="F57" s="31"/>
      <c r="G57" s="31"/>
    </row>
    <row r="58">
      <c r="A58" s="32"/>
      <c r="B58" s="32"/>
      <c r="C58" s="32"/>
      <c r="D58" s="26" t="s">
        <v>93</v>
      </c>
      <c r="E58" s="39" t="s">
        <v>209</v>
      </c>
      <c r="F58" s="32"/>
      <c r="G58" s="32"/>
    </row>
    <row r="59">
      <c r="A59" s="27" t="s">
        <v>210</v>
      </c>
      <c r="B59" s="28" t="s">
        <v>211</v>
      </c>
      <c r="C59" s="38">
        <v>2.0</v>
      </c>
      <c r="D59" s="26" t="s">
        <v>87</v>
      </c>
      <c r="E59" s="39" t="s">
        <v>212</v>
      </c>
      <c r="F59" s="28" t="s">
        <v>213</v>
      </c>
      <c r="G59" s="28" t="s">
        <v>214</v>
      </c>
    </row>
    <row r="60">
      <c r="A60" s="31"/>
      <c r="B60" s="31"/>
      <c r="C60" s="31"/>
      <c r="D60" s="26" t="s">
        <v>91</v>
      </c>
      <c r="E60" s="39" t="s">
        <v>215</v>
      </c>
      <c r="F60" s="31"/>
      <c r="G60" s="31"/>
    </row>
    <row r="61">
      <c r="A61" s="32"/>
      <c r="B61" s="32"/>
      <c r="C61" s="32"/>
      <c r="D61" s="26" t="s">
        <v>93</v>
      </c>
      <c r="E61" s="39" t="s">
        <v>216</v>
      </c>
      <c r="F61" s="32"/>
      <c r="G61" s="32"/>
    </row>
    <row r="62">
      <c r="A62" s="27" t="s">
        <v>217</v>
      </c>
      <c r="B62" s="28" t="s">
        <v>218</v>
      </c>
      <c r="C62" s="38">
        <v>10.0</v>
      </c>
      <c r="D62" s="26" t="s">
        <v>87</v>
      </c>
      <c r="E62" s="39" t="s">
        <v>219</v>
      </c>
      <c r="F62" s="28" t="s">
        <v>220</v>
      </c>
      <c r="G62" s="28" t="s">
        <v>221</v>
      </c>
    </row>
    <row r="63">
      <c r="A63" s="31"/>
      <c r="B63" s="31"/>
      <c r="C63" s="31"/>
      <c r="D63" s="26" t="s">
        <v>91</v>
      </c>
      <c r="E63" s="39" t="s">
        <v>222</v>
      </c>
      <c r="F63" s="31"/>
      <c r="G63" s="31"/>
    </row>
    <row r="64">
      <c r="A64" s="32"/>
      <c r="B64" s="32"/>
      <c r="C64" s="32"/>
      <c r="D64" s="26" t="s">
        <v>93</v>
      </c>
      <c r="E64" s="39" t="s">
        <v>223</v>
      </c>
      <c r="F64" s="32"/>
      <c r="G64" s="32"/>
    </row>
    <row r="65">
      <c r="A65" s="27" t="s">
        <v>224</v>
      </c>
      <c r="B65" s="28" t="s">
        <v>225</v>
      </c>
      <c r="C65" s="38">
        <v>2.0</v>
      </c>
      <c r="D65" s="26" t="s">
        <v>87</v>
      </c>
      <c r="E65" s="39" t="s">
        <v>226</v>
      </c>
      <c r="F65" s="28" t="s">
        <v>227</v>
      </c>
      <c r="G65" s="28" t="s">
        <v>228</v>
      </c>
    </row>
    <row r="66">
      <c r="A66" s="31"/>
      <c r="B66" s="31"/>
      <c r="C66" s="31"/>
      <c r="D66" s="26" t="s">
        <v>91</v>
      </c>
      <c r="E66" s="39" t="s">
        <v>229</v>
      </c>
      <c r="F66" s="31"/>
      <c r="G66" s="31"/>
    </row>
    <row r="67">
      <c r="A67" s="32"/>
      <c r="B67" s="32"/>
      <c r="C67" s="32"/>
      <c r="D67" s="26" t="s">
        <v>93</v>
      </c>
      <c r="E67" s="39" t="s">
        <v>230</v>
      </c>
      <c r="F67" s="32"/>
      <c r="G67" s="32"/>
    </row>
    <row r="68">
      <c r="A68" s="27" t="s">
        <v>231</v>
      </c>
      <c r="B68" s="28" t="s">
        <v>232</v>
      </c>
      <c r="C68" s="38">
        <v>5.0</v>
      </c>
      <c r="D68" s="26" t="s">
        <v>87</v>
      </c>
      <c r="E68" s="39" t="s">
        <v>233</v>
      </c>
      <c r="F68" s="28" t="s">
        <v>234</v>
      </c>
      <c r="G68" s="28" t="s">
        <v>235</v>
      </c>
    </row>
    <row r="69">
      <c r="A69" s="31"/>
      <c r="B69" s="31"/>
      <c r="C69" s="31"/>
      <c r="D69" s="26" t="s">
        <v>91</v>
      </c>
      <c r="E69" s="39" t="s">
        <v>236</v>
      </c>
      <c r="F69" s="31"/>
      <c r="G69" s="31"/>
    </row>
    <row r="70">
      <c r="A70" s="32"/>
      <c r="B70" s="32"/>
      <c r="C70" s="32"/>
      <c r="D70" s="26" t="s">
        <v>93</v>
      </c>
      <c r="E70" s="39" t="s">
        <v>237</v>
      </c>
      <c r="F70" s="32"/>
      <c r="G70" s="32"/>
    </row>
    <row r="71">
      <c r="A71" s="40"/>
      <c r="B71" s="41"/>
      <c r="C71" s="41"/>
      <c r="D71" s="41"/>
      <c r="E71" s="41"/>
      <c r="F71" s="41"/>
      <c r="G71" s="41"/>
    </row>
    <row r="72">
      <c r="A72" s="40"/>
      <c r="B72" s="41"/>
      <c r="C72" s="41"/>
      <c r="D72" s="41"/>
      <c r="E72" s="41"/>
      <c r="F72" s="41"/>
      <c r="G72" s="41"/>
    </row>
    <row r="99">
      <c r="C99" s="42"/>
    </row>
    <row r="100">
      <c r="C100" s="42"/>
    </row>
    <row r="101">
      <c r="C101" s="42"/>
    </row>
    <row r="102">
      <c r="C102" s="42"/>
    </row>
    <row r="103">
      <c r="C103" s="42"/>
    </row>
    <row r="104">
      <c r="C104" s="42"/>
    </row>
    <row r="105">
      <c r="C105" s="42"/>
    </row>
    <row r="106">
      <c r="C106" s="42"/>
    </row>
    <row r="107">
      <c r="C107" s="42"/>
    </row>
    <row r="108">
      <c r="C108" s="42"/>
    </row>
    <row r="109">
      <c r="C109" s="42"/>
    </row>
    <row r="110">
      <c r="C110" s="42"/>
    </row>
    <row r="111">
      <c r="C111" s="42"/>
    </row>
    <row r="112">
      <c r="C112" s="42"/>
    </row>
    <row r="113">
      <c r="C113" s="42"/>
    </row>
    <row r="114">
      <c r="C114" s="42"/>
    </row>
    <row r="115">
      <c r="C115" s="42"/>
    </row>
    <row r="116">
      <c r="C116" s="42"/>
    </row>
    <row r="117">
      <c r="C117" s="42"/>
    </row>
    <row r="118">
      <c r="C118" s="42"/>
    </row>
    <row r="119">
      <c r="C119" s="42"/>
    </row>
    <row r="120">
      <c r="C120" s="42"/>
    </row>
    <row r="121">
      <c r="C121" s="42"/>
    </row>
    <row r="122">
      <c r="C122" s="42"/>
    </row>
    <row r="123">
      <c r="C123" s="42"/>
    </row>
    <row r="124">
      <c r="C124" s="42"/>
    </row>
    <row r="125">
      <c r="C125" s="42"/>
    </row>
    <row r="126">
      <c r="C126" s="42"/>
    </row>
    <row r="127">
      <c r="C127" s="42"/>
    </row>
    <row r="128">
      <c r="C128" s="42"/>
    </row>
    <row r="129">
      <c r="C129" s="42"/>
    </row>
    <row r="130">
      <c r="C130" s="42"/>
    </row>
    <row r="131">
      <c r="C131" s="42"/>
    </row>
    <row r="132">
      <c r="C132" s="42"/>
    </row>
    <row r="133">
      <c r="C133" s="42"/>
    </row>
    <row r="134">
      <c r="C134" s="42"/>
    </row>
    <row r="135">
      <c r="C135" s="42"/>
    </row>
    <row r="136">
      <c r="C136" s="42"/>
    </row>
    <row r="137">
      <c r="C137" s="42"/>
    </row>
    <row r="138">
      <c r="C138" s="42"/>
    </row>
    <row r="139">
      <c r="C139" s="42"/>
    </row>
    <row r="140">
      <c r="C140" s="42"/>
    </row>
    <row r="141">
      <c r="C141" s="42"/>
    </row>
    <row r="142">
      <c r="C142" s="42"/>
    </row>
    <row r="143">
      <c r="C143" s="42"/>
    </row>
    <row r="144">
      <c r="C144" s="42"/>
    </row>
    <row r="145">
      <c r="C145" s="42"/>
    </row>
    <row r="146">
      <c r="C146" s="42"/>
    </row>
    <row r="147">
      <c r="C147" s="42"/>
    </row>
    <row r="148">
      <c r="C148" s="42"/>
    </row>
    <row r="149">
      <c r="C149" s="42"/>
    </row>
    <row r="150">
      <c r="C150" s="42"/>
    </row>
    <row r="151">
      <c r="C151" s="42"/>
    </row>
    <row r="152">
      <c r="C152" s="42"/>
    </row>
    <row r="153">
      <c r="C153" s="42"/>
    </row>
    <row r="154">
      <c r="C154" s="42"/>
    </row>
    <row r="155">
      <c r="C155" s="42"/>
    </row>
    <row r="156">
      <c r="C156" s="42"/>
    </row>
    <row r="157">
      <c r="C157" s="42"/>
    </row>
    <row r="158">
      <c r="C158" s="42"/>
    </row>
    <row r="159">
      <c r="C159" s="42"/>
    </row>
    <row r="160">
      <c r="C160" s="42"/>
    </row>
    <row r="161">
      <c r="C161" s="42"/>
    </row>
    <row r="162">
      <c r="C162" s="42"/>
    </row>
    <row r="163">
      <c r="C163" s="42"/>
    </row>
    <row r="164">
      <c r="C164" s="42"/>
    </row>
    <row r="165">
      <c r="C165" s="42"/>
    </row>
    <row r="166">
      <c r="C166" s="42"/>
    </row>
    <row r="167">
      <c r="C167" s="42"/>
    </row>
    <row r="168">
      <c r="C168" s="42"/>
    </row>
    <row r="169">
      <c r="C169" s="42"/>
    </row>
    <row r="170">
      <c r="C170" s="42"/>
    </row>
    <row r="171">
      <c r="C171" s="42"/>
    </row>
    <row r="172">
      <c r="C172" s="42"/>
    </row>
    <row r="173">
      <c r="C173" s="42"/>
    </row>
    <row r="174">
      <c r="C174" s="42"/>
    </row>
    <row r="175">
      <c r="C175" s="42"/>
    </row>
    <row r="176">
      <c r="C176" s="42"/>
    </row>
    <row r="177">
      <c r="C177" s="42"/>
    </row>
    <row r="178">
      <c r="C178" s="42"/>
    </row>
    <row r="179">
      <c r="C179" s="42"/>
    </row>
    <row r="180">
      <c r="C180" s="42"/>
    </row>
    <row r="181">
      <c r="C181" s="42"/>
    </row>
    <row r="182">
      <c r="C182" s="42"/>
    </row>
    <row r="183">
      <c r="C183" s="42"/>
    </row>
    <row r="184">
      <c r="C184" s="42"/>
    </row>
    <row r="185">
      <c r="C185" s="42"/>
    </row>
    <row r="186">
      <c r="C186" s="42"/>
    </row>
    <row r="187">
      <c r="C187" s="42"/>
    </row>
    <row r="188">
      <c r="C188" s="42"/>
    </row>
    <row r="189">
      <c r="C189" s="42"/>
    </row>
    <row r="190">
      <c r="C190" s="42"/>
    </row>
    <row r="191">
      <c r="C191" s="42"/>
    </row>
    <row r="192">
      <c r="C192" s="42"/>
    </row>
    <row r="193">
      <c r="C193" s="42"/>
    </row>
    <row r="194">
      <c r="C194" s="42"/>
    </row>
    <row r="195">
      <c r="C195" s="42"/>
    </row>
    <row r="196">
      <c r="C196" s="42"/>
    </row>
    <row r="197">
      <c r="C197" s="42"/>
    </row>
    <row r="198">
      <c r="C198" s="42"/>
    </row>
    <row r="199">
      <c r="C199" s="42"/>
    </row>
    <row r="200">
      <c r="C200" s="42"/>
    </row>
    <row r="201">
      <c r="C201" s="42"/>
    </row>
    <row r="202">
      <c r="C202" s="42"/>
    </row>
    <row r="203">
      <c r="C203" s="42"/>
    </row>
    <row r="204">
      <c r="C204" s="42"/>
    </row>
    <row r="205">
      <c r="C205" s="42"/>
    </row>
    <row r="206">
      <c r="C206" s="42"/>
    </row>
    <row r="207">
      <c r="C207" s="42"/>
    </row>
    <row r="208">
      <c r="C208" s="42"/>
    </row>
    <row r="209">
      <c r="C209" s="42"/>
    </row>
    <row r="210">
      <c r="C210" s="42"/>
    </row>
    <row r="211">
      <c r="C211" s="42"/>
    </row>
    <row r="212">
      <c r="C212" s="42"/>
    </row>
    <row r="213">
      <c r="C213" s="42"/>
    </row>
    <row r="214">
      <c r="C214" s="42"/>
    </row>
    <row r="215">
      <c r="C215" s="42"/>
    </row>
    <row r="216">
      <c r="C216" s="42"/>
    </row>
    <row r="217">
      <c r="C217" s="42"/>
    </row>
    <row r="218">
      <c r="C218" s="42"/>
    </row>
    <row r="219">
      <c r="C219" s="42"/>
    </row>
    <row r="220">
      <c r="C220" s="42"/>
    </row>
    <row r="221">
      <c r="C221" s="42"/>
    </row>
    <row r="222">
      <c r="C222" s="42"/>
    </row>
    <row r="223">
      <c r="C223" s="42"/>
    </row>
    <row r="224">
      <c r="C224" s="42"/>
    </row>
    <row r="225">
      <c r="C225" s="42"/>
    </row>
    <row r="226">
      <c r="C226" s="42"/>
    </row>
    <row r="227">
      <c r="C227" s="42"/>
    </row>
    <row r="228">
      <c r="C228" s="42"/>
    </row>
    <row r="229">
      <c r="C229" s="42"/>
    </row>
    <row r="230">
      <c r="C230" s="42"/>
    </row>
    <row r="231">
      <c r="C231" s="42"/>
    </row>
    <row r="232">
      <c r="C232" s="42"/>
    </row>
    <row r="233">
      <c r="C233" s="42"/>
    </row>
    <row r="234">
      <c r="C234" s="42"/>
    </row>
    <row r="235">
      <c r="C235" s="42"/>
    </row>
    <row r="236">
      <c r="C236" s="42"/>
    </row>
    <row r="237">
      <c r="C237" s="42"/>
    </row>
    <row r="238">
      <c r="C238" s="42"/>
    </row>
    <row r="239">
      <c r="C239" s="42"/>
    </row>
    <row r="240">
      <c r="C240" s="42"/>
    </row>
    <row r="241">
      <c r="C241" s="42"/>
    </row>
    <row r="242">
      <c r="C242" s="42"/>
    </row>
    <row r="243">
      <c r="C243" s="42"/>
    </row>
    <row r="244">
      <c r="C244" s="42"/>
    </row>
    <row r="245">
      <c r="C245" s="42"/>
    </row>
    <row r="246">
      <c r="C246" s="42"/>
    </row>
    <row r="247">
      <c r="C247" s="42"/>
    </row>
    <row r="248">
      <c r="C248" s="42"/>
    </row>
    <row r="249">
      <c r="C249" s="42"/>
    </row>
    <row r="250">
      <c r="C250" s="42"/>
    </row>
    <row r="251">
      <c r="C251" s="42"/>
    </row>
    <row r="252">
      <c r="C252" s="42"/>
    </row>
    <row r="253">
      <c r="C253" s="42"/>
    </row>
    <row r="254">
      <c r="C254" s="42"/>
    </row>
    <row r="255">
      <c r="C255" s="42"/>
    </row>
    <row r="256">
      <c r="C256" s="42"/>
    </row>
    <row r="257">
      <c r="C257" s="42"/>
    </row>
    <row r="258">
      <c r="C258" s="42"/>
    </row>
    <row r="259">
      <c r="C259" s="42"/>
    </row>
    <row r="260">
      <c r="C260" s="42"/>
    </row>
    <row r="261">
      <c r="C261" s="42"/>
    </row>
    <row r="262">
      <c r="C262" s="42"/>
    </row>
    <row r="263">
      <c r="C263" s="42"/>
    </row>
    <row r="264">
      <c r="C264" s="42"/>
    </row>
    <row r="265">
      <c r="C265" s="42"/>
    </row>
    <row r="266">
      <c r="C266" s="42"/>
    </row>
    <row r="267">
      <c r="C267" s="42"/>
    </row>
    <row r="268">
      <c r="C268" s="42"/>
    </row>
    <row r="269">
      <c r="C269" s="42"/>
    </row>
    <row r="270">
      <c r="C270" s="42"/>
    </row>
    <row r="271">
      <c r="C271" s="42"/>
    </row>
    <row r="272">
      <c r="C272" s="42"/>
    </row>
    <row r="273">
      <c r="C273" s="42"/>
    </row>
    <row r="274">
      <c r="C274" s="42"/>
    </row>
    <row r="275">
      <c r="C275" s="42"/>
    </row>
    <row r="276">
      <c r="C276" s="42"/>
    </row>
    <row r="277">
      <c r="C277" s="42"/>
    </row>
    <row r="278">
      <c r="C278" s="42"/>
    </row>
    <row r="279">
      <c r="C279" s="42"/>
    </row>
    <row r="280">
      <c r="C280" s="42"/>
    </row>
    <row r="281">
      <c r="C281" s="42"/>
    </row>
    <row r="282">
      <c r="C282" s="42"/>
    </row>
    <row r="283">
      <c r="C283" s="42"/>
    </row>
    <row r="284">
      <c r="C284" s="42"/>
    </row>
    <row r="285">
      <c r="C285" s="42"/>
    </row>
    <row r="286">
      <c r="C286" s="42"/>
    </row>
    <row r="287">
      <c r="C287" s="42"/>
    </row>
    <row r="288">
      <c r="C288" s="42"/>
    </row>
    <row r="289">
      <c r="C289" s="42"/>
    </row>
    <row r="290">
      <c r="C290" s="42"/>
    </row>
    <row r="291">
      <c r="C291" s="42"/>
    </row>
    <row r="292">
      <c r="C292" s="42"/>
    </row>
    <row r="293">
      <c r="C293" s="42"/>
    </row>
    <row r="294">
      <c r="C294" s="42"/>
    </row>
    <row r="295">
      <c r="C295" s="42"/>
    </row>
    <row r="296">
      <c r="C296" s="42"/>
    </row>
    <row r="297">
      <c r="C297" s="42"/>
    </row>
    <row r="298">
      <c r="C298" s="42"/>
    </row>
    <row r="299">
      <c r="C299" s="42"/>
    </row>
    <row r="300">
      <c r="C300" s="42"/>
    </row>
    <row r="301">
      <c r="C301" s="42"/>
    </row>
    <row r="302">
      <c r="C302" s="42"/>
    </row>
    <row r="303">
      <c r="C303" s="42"/>
    </row>
    <row r="304">
      <c r="C304" s="42"/>
    </row>
    <row r="305">
      <c r="C305" s="42"/>
    </row>
    <row r="306">
      <c r="C306" s="42"/>
    </row>
    <row r="307">
      <c r="C307" s="42"/>
    </row>
    <row r="308">
      <c r="C308" s="42"/>
    </row>
    <row r="309">
      <c r="C309" s="42"/>
    </row>
    <row r="310">
      <c r="C310" s="42"/>
    </row>
    <row r="311">
      <c r="C311" s="42"/>
    </row>
    <row r="312">
      <c r="C312" s="42"/>
    </row>
    <row r="313">
      <c r="C313" s="42"/>
    </row>
    <row r="314">
      <c r="C314" s="42"/>
    </row>
    <row r="315">
      <c r="C315" s="42"/>
    </row>
    <row r="316">
      <c r="C316" s="42"/>
    </row>
    <row r="317">
      <c r="C317" s="42"/>
    </row>
    <row r="318">
      <c r="C318" s="42"/>
    </row>
    <row r="319">
      <c r="C319" s="42"/>
    </row>
    <row r="320">
      <c r="C320" s="42"/>
    </row>
    <row r="321">
      <c r="C321" s="42"/>
    </row>
    <row r="322">
      <c r="C322" s="42"/>
    </row>
    <row r="323">
      <c r="C323" s="42"/>
    </row>
    <row r="324">
      <c r="C324" s="42"/>
    </row>
    <row r="325">
      <c r="C325" s="42"/>
    </row>
    <row r="326">
      <c r="C326" s="42"/>
    </row>
    <row r="327">
      <c r="C327" s="42"/>
    </row>
    <row r="328">
      <c r="C328" s="42"/>
    </row>
    <row r="329">
      <c r="C329" s="42"/>
    </row>
    <row r="330">
      <c r="C330" s="42"/>
    </row>
    <row r="331">
      <c r="C331" s="42"/>
    </row>
    <row r="332">
      <c r="C332" s="42"/>
    </row>
    <row r="333">
      <c r="C333" s="42"/>
    </row>
    <row r="334">
      <c r="C334" s="42"/>
    </row>
    <row r="335">
      <c r="C335" s="42"/>
    </row>
    <row r="336">
      <c r="C336" s="42"/>
    </row>
    <row r="337">
      <c r="C337" s="42"/>
    </row>
    <row r="338">
      <c r="C338" s="42"/>
    </row>
    <row r="339">
      <c r="C339" s="42"/>
    </row>
    <row r="340">
      <c r="C340" s="42"/>
    </row>
    <row r="341">
      <c r="C341" s="42"/>
    </row>
    <row r="342">
      <c r="C342" s="42"/>
    </row>
    <row r="343">
      <c r="C343" s="42"/>
    </row>
    <row r="344">
      <c r="C344" s="42"/>
    </row>
    <row r="345">
      <c r="C345" s="42"/>
    </row>
    <row r="346">
      <c r="C346" s="42"/>
    </row>
    <row r="347">
      <c r="C347" s="42"/>
    </row>
    <row r="348">
      <c r="C348" s="42"/>
    </row>
    <row r="349">
      <c r="C349" s="42"/>
    </row>
    <row r="350">
      <c r="C350" s="42"/>
    </row>
    <row r="351">
      <c r="C351" s="42"/>
    </row>
    <row r="352">
      <c r="C352" s="42"/>
    </row>
    <row r="353">
      <c r="C353" s="42"/>
    </row>
    <row r="354">
      <c r="C354" s="42"/>
    </row>
    <row r="355">
      <c r="C355" s="42"/>
    </row>
    <row r="356">
      <c r="C356" s="42"/>
    </row>
    <row r="357">
      <c r="C357" s="42"/>
    </row>
    <row r="358">
      <c r="C358" s="42"/>
    </row>
    <row r="359">
      <c r="C359" s="42"/>
    </row>
    <row r="360">
      <c r="C360" s="42"/>
    </row>
    <row r="361">
      <c r="C361" s="42"/>
    </row>
    <row r="362">
      <c r="C362" s="42"/>
    </row>
    <row r="363">
      <c r="C363" s="42"/>
    </row>
    <row r="364">
      <c r="C364" s="42"/>
    </row>
    <row r="365">
      <c r="C365" s="42"/>
    </row>
    <row r="366">
      <c r="C366" s="42"/>
    </row>
    <row r="367">
      <c r="C367" s="42"/>
    </row>
    <row r="368">
      <c r="C368" s="42"/>
    </row>
    <row r="369">
      <c r="C369" s="42"/>
    </row>
    <row r="370">
      <c r="C370" s="42"/>
    </row>
    <row r="371">
      <c r="C371" s="42"/>
    </row>
    <row r="372">
      <c r="C372" s="42"/>
    </row>
    <row r="373">
      <c r="C373" s="42"/>
    </row>
    <row r="374">
      <c r="C374" s="42"/>
    </row>
    <row r="375">
      <c r="C375" s="42"/>
    </row>
    <row r="376">
      <c r="C376" s="42"/>
    </row>
    <row r="377">
      <c r="C377" s="42"/>
    </row>
    <row r="378">
      <c r="C378" s="42"/>
    </row>
    <row r="379">
      <c r="C379" s="42"/>
    </row>
    <row r="380">
      <c r="C380" s="42"/>
    </row>
    <row r="381">
      <c r="C381" s="42"/>
    </row>
    <row r="382">
      <c r="C382" s="42"/>
    </row>
    <row r="383">
      <c r="C383" s="42"/>
    </row>
    <row r="384">
      <c r="C384" s="42"/>
    </row>
    <row r="385">
      <c r="C385" s="42"/>
    </row>
    <row r="386">
      <c r="C386" s="42"/>
    </row>
    <row r="387">
      <c r="C387" s="42"/>
    </row>
    <row r="388">
      <c r="C388" s="42"/>
    </row>
    <row r="389">
      <c r="C389" s="42"/>
    </row>
    <row r="390">
      <c r="C390" s="42"/>
    </row>
    <row r="391">
      <c r="C391" s="42"/>
    </row>
    <row r="392">
      <c r="C392" s="42"/>
    </row>
    <row r="393">
      <c r="C393" s="42"/>
    </row>
    <row r="394">
      <c r="C394" s="42"/>
    </row>
    <row r="395">
      <c r="C395" s="42"/>
    </row>
    <row r="396">
      <c r="C396" s="42"/>
    </row>
    <row r="397">
      <c r="C397" s="42"/>
    </row>
    <row r="398">
      <c r="C398" s="42"/>
    </row>
    <row r="399">
      <c r="C399" s="42"/>
    </row>
    <row r="400">
      <c r="C400" s="42"/>
    </row>
    <row r="401">
      <c r="C401" s="42"/>
    </row>
    <row r="402">
      <c r="C402" s="42"/>
    </row>
    <row r="403">
      <c r="C403" s="42"/>
    </row>
    <row r="404">
      <c r="C404" s="42"/>
    </row>
    <row r="405">
      <c r="C405" s="42"/>
    </row>
    <row r="406">
      <c r="C406" s="42"/>
    </row>
    <row r="407">
      <c r="C407" s="42"/>
    </row>
    <row r="408">
      <c r="C408" s="42"/>
    </row>
    <row r="409">
      <c r="C409" s="42"/>
    </row>
    <row r="410">
      <c r="C410" s="42"/>
    </row>
    <row r="411">
      <c r="C411" s="42"/>
    </row>
    <row r="412">
      <c r="C412" s="42"/>
    </row>
    <row r="413">
      <c r="C413" s="42"/>
    </row>
    <row r="414">
      <c r="C414" s="42"/>
    </row>
    <row r="415">
      <c r="C415" s="42"/>
    </row>
    <row r="416">
      <c r="C416" s="42"/>
    </row>
    <row r="417">
      <c r="C417" s="42"/>
    </row>
    <row r="418">
      <c r="C418" s="42"/>
    </row>
    <row r="419">
      <c r="C419" s="42"/>
    </row>
    <row r="420">
      <c r="C420" s="42"/>
    </row>
    <row r="421">
      <c r="C421" s="42"/>
    </row>
    <row r="422">
      <c r="C422" s="42"/>
    </row>
    <row r="423">
      <c r="C423" s="42"/>
    </row>
    <row r="424">
      <c r="C424" s="42"/>
    </row>
    <row r="425">
      <c r="C425" s="42"/>
    </row>
    <row r="426">
      <c r="C426" s="42"/>
    </row>
    <row r="427">
      <c r="C427" s="42"/>
    </row>
    <row r="428">
      <c r="C428" s="42"/>
    </row>
    <row r="429">
      <c r="C429" s="42"/>
    </row>
    <row r="430">
      <c r="C430" s="42"/>
    </row>
    <row r="431">
      <c r="C431" s="42"/>
    </row>
    <row r="432">
      <c r="C432" s="42"/>
    </row>
    <row r="433">
      <c r="C433" s="42"/>
    </row>
    <row r="434">
      <c r="C434" s="42"/>
    </row>
    <row r="435">
      <c r="C435" s="42"/>
    </row>
    <row r="436">
      <c r="C436" s="42"/>
    </row>
    <row r="437">
      <c r="C437" s="42"/>
    </row>
    <row r="438">
      <c r="C438" s="42"/>
    </row>
    <row r="439">
      <c r="C439" s="42"/>
    </row>
    <row r="440">
      <c r="C440" s="42"/>
    </row>
    <row r="441">
      <c r="C441" s="42"/>
    </row>
    <row r="442">
      <c r="C442" s="42"/>
    </row>
    <row r="443">
      <c r="C443" s="42"/>
    </row>
    <row r="444">
      <c r="C444" s="42"/>
    </row>
    <row r="445">
      <c r="C445" s="42"/>
    </row>
    <row r="446">
      <c r="C446" s="42"/>
    </row>
    <row r="447">
      <c r="C447" s="42"/>
    </row>
    <row r="448">
      <c r="C448" s="42"/>
    </row>
    <row r="449">
      <c r="C449" s="42"/>
    </row>
    <row r="450">
      <c r="C450" s="42"/>
    </row>
    <row r="451">
      <c r="C451" s="42"/>
    </row>
    <row r="452">
      <c r="C452" s="42"/>
    </row>
    <row r="453">
      <c r="C453" s="42"/>
    </row>
    <row r="454">
      <c r="C454" s="42"/>
    </row>
    <row r="455">
      <c r="C455" s="42"/>
    </row>
    <row r="456">
      <c r="C456" s="42"/>
    </row>
    <row r="457">
      <c r="C457" s="42"/>
    </row>
    <row r="458">
      <c r="C458" s="42"/>
    </row>
    <row r="459">
      <c r="C459" s="42"/>
    </row>
    <row r="460">
      <c r="C460" s="42"/>
    </row>
    <row r="461">
      <c r="C461" s="42"/>
    </row>
    <row r="462">
      <c r="C462" s="42"/>
    </row>
    <row r="463">
      <c r="C463" s="42"/>
    </row>
    <row r="464">
      <c r="C464" s="42"/>
    </row>
    <row r="465">
      <c r="C465" s="42"/>
    </row>
    <row r="466">
      <c r="C466" s="42"/>
    </row>
    <row r="467">
      <c r="C467" s="42"/>
    </row>
    <row r="468">
      <c r="C468" s="42"/>
    </row>
    <row r="469">
      <c r="C469" s="42"/>
    </row>
    <row r="470">
      <c r="C470" s="42"/>
    </row>
    <row r="471">
      <c r="C471" s="42"/>
    </row>
    <row r="472">
      <c r="C472" s="42"/>
    </row>
    <row r="473">
      <c r="C473" s="42"/>
    </row>
    <row r="474">
      <c r="C474" s="42"/>
    </row>
    <row r="475">
      <c r="C475" s="42"/>
    </row>
    <row r="476">
      <c r="C476" s="42"/>
    </row>
    <row r="477">
      <c r="C477" s="42"/>
    </row>
    <row r="478">
      <c r="C478" s="42"/>
    </row>
    <row r="479">
      <c r="C479" s="42"/>
    </row>
    <row r="480">
      <c r="C480" s="42"/>
    </row>
    <row r="481">
      <c r="C481" s="42"/>
    </row>
    <row r="482">
      <c r="C482" s="42"/>
    </row>
    <row r="483">
      <c r="C483" s="42"/>
    </row>
    <row r="484">
      <c r="C484" s="42"/>
    </row>
    <row r="485">
      <c r="C485" s="42"/>
    </row>
    <row r="486">
      <c r="C486" s="42"/>
    </row>
    <row r="487">
      <c r="C487" s="42"/>
    </row>
    <row r="488">
      <c r="C488" s="42"/>
    </row>
    <row r="489">
      <c r="C489" s="42"/>
    </row>
    <row r="490">
      <c r="C490" s="42"/>
    </row>
    <row r="491">
      <c r="C491" s="42"/>
    </row>
    <row r="492">
      <c r="C492" s="42"/>
    </row>
    <row r="493">
      <c r="C493" s="42"/>
    </row>
    <row r="494">
      <c r="C494" s="42"/>
    </row>
    <row r="495">
      <c r="C495" s="42"/>
    </row>
    <row r="496">
      <c r="C496" s="42"/>
    </row>
    <row r="497">
      <c r="C497" s="42"/>
    </row>
    <row r="498">
      <c r="C498" s="42"/>
    </row>
    <row r="499">
      <c r="C499" s="42"/>
    </row>
    <row r="500">
      <c r="C500" s="42"/>
    </row>
    <row r="501">
      <c r="C501" s="42"/>
    </row>
    <row r="502">
      <c r="C502" s="42"/>
    </row>
    <row r="503">
      <c r="C503" s="42"/>
    </row>
    <row r="504">
      <c r="C504" s="42"/>
    </row>
    <row r="505">
      <c r="C505" s="42"/>
    </row>
    <row r="506">
      <c r="C506" s="42"/>
    </row>
    <row r="507">
      <c r="C507" s="42"/>
    </row>
    <row r="508">
      <c r="C508" s="42"/>
    </row>
    <row r="509">
      <c r="C509" s="42"/>
    </row>
    <row r="510">
      <c r="C510" s="42"/>
    </row>
    <row r="511">
      <c r="C511" s="42"/>
    </row>
    <row r="512">
      <c r="C512" s="42"/>
    </row>
    <row r="513">
      <c r="C513" s="42"/>
    </row>
    <row r="514">
      <c r="C514" s="42"/>
    </row>
    <row r="515">
      <c r="C515" s="42"/>
    </row>
    <row r="516">
      <c r="C516" s="42"/>
    </row>
    <row r="517">
      <c r="C517" s="42"/>
    </row>
    <row r="518">
      <c r="C518" s="42"/>
    </row>
    <row r="519">
      <c r="C519" s="42"/>
    </row>
    <row r="520">
      <c r="C520" s="42"/>
    </row>
    <row r="521">
      <c r="C521" s="42"/>
    </row>
    <row r="522">
      <c r="C522" s="42"/>
    </row>
    <row r="523">
      <c r="C523" s="42"/>
    </row>
    <row r="524">
      <c r="C524" s="42"/>
    </row>
    <row r="525">
      <c r="C525" s="42"/>
    </row>
    <row r="526">
      <c r="C526" s="42"/>
    </row>
    <row r="527">
      <c r="C527" s="42"/>
    </row>
    <row r="528">
      <c r="C528" s="42"/>
    </row>
    <row r="529">
      <c r="C529" s="42"/>
    </row>
    <row r="530">
      <c r="C530" s="42"/>
    </row>
    <row r="531">
      <c r="C531" s="42"/>
    </row>
    <row r="532">
      <c r="C532" s="42"/>
    </row>
    <row r="533">
      <c r="C533" s="42"/>
    </row>
    <row r="534">
      <c r="C534" s="42"/>
    </row>
    <row r="535">
      <c r="C535" s="42"/>
    </row>
    <row r="536">
      <c r="C536" s="42"/>
    </row>
    <row r="537">
      <c r="C537" s="42"/>
    </row>
    <row r="538">
      <c r="C538" s="42"/>
    </row>
    <row r="539">
      <c r="C539" s="42"/>
    </row>
    <row r="540">
      <c r="C540" s="42"/>
    </row>
    <row r="541">
      <c r="C541" s="42"/>
    </row>
    <row r="542">
      <c r="C542" s="42"/>
    </row>
    <row r="543">
      <c r="C543" s="42"/>
    </row>
    <row r="544">
      <c r="C544" s="42"/>
    </row>
    <row r="545">
      <c r="C545" s="42"/>
    </row>
    <row r="546">
      <c r="C546" s="42"/>
    </row>
    <row r="547">
      <c r="C547" s="42"/>
    </row>
    <row r="548">
      <c r="C548" s="42"/>
    </row>
    <row r="549">
      <c r="C549" s="42"/>
    </row>
    <row r="550">
      <c r="C550" s="42"/>
    </row>
    <row r="551">
      <c r="C551" s="42"/>
    </row>
    <row r="552">
      <c r="C552" s="42"/>
    </row>
    <row r="553">
      <c r="C553" s="42"/>
    </row>
    <row r="554">
      <c r="C554" s="42"/>
    </row>
    <row r="555">
      <c r="C555" s="42"/>
    </row>
    <row r="556">
      <c r="C556" s="42"/>
    </row>
    <row r="557">
      <c r="C557" s="42"/>
    </row>
    <row r="558">
      <c r="C558" s="42"/>
    </row>
    <row r="559">
      <c r="C559" s="42"/>
    </row>
    <row r="560">
      <c r="C560" s="42"/>
    </row>
    <row r="561">
      <c r="C561" s="42"/>
    </row>
    <row r="562">
      <c r="C562" s="42"/>
    </row>
    <row r="563">
      <c r="C563" s="42"/>
    </row>
    <row r="564">
      <c r="C564" s="42"/>
    </row>
    <row r="565">
      <c r="C565" s="42"/>
    </row>
    <row r="566">
      <c r="C566" s="42"/>
    </row>
    <row r="567">
      <c r="C567" s="42"/>
    </row>
    <row r="568">
      <c r="C568" s="42"/>
    </row>
    <row r="569">
      <c r="C569" s="42"/>
    </row>
    <row r="570">
      <c r="C570" s="42"/>
    </row>
    <row r="571">
      <c r="C571" s="42"/>
    </row>
    <row r="572">
      <c r="C572" s="42"/>
    </row>
    <row r="573">
      <c r="C573" s="42"/>
    </row>
    <row r="574">
      <c r="C574" s="42"/>
    </row>
    <row r="575">
      <c r="C575" s="42"/>
    </row>
    <row r="576">
      <c r="C576" s="42"/>
    </row>
    <row r="577">
      <c r="C577" s="42"/>
    </row>
    <row r="578">
      <c r="C578" s="42"/>
    </row>
    <row r="579">
      <c r="C579" s="42"/>
    </row>
    <row r="580">
      <c r="C580" s="42"/>
    </row>
    <row r="581">
      <c r="C581" s="42"/>
    </row>
    <row r="582">
      <c r="C582" s="42"/>
    </row>
    <row r="583">
      <c r="C583" s="42"/>
    </row>
    <row r="584">
      <c r="C584" s="42"/>
    </row>
    <row r="585">
      <c r="C585" s="42"/>
    </row>
    <row r="586">
      <c r="C586" s="42"/>
    </row>
    <row r="587">
      <c r="C587" s="42"/>
    </row>
    <row r="588">
      <c r="C588" s="42"/>
    </row>
    <row r="589">
      <c r="C589" s="42"/>
    </row>
    <row r="590">
      <c r="C590" s="42"/>
    </row>
    <row r="591">
      <c r="C591" s="42"/>
    </row>
    <row r="592">
      <c r="C592" s="42"/>
    </row>
    <row r="593">
      <c r="C593" s="42"/>
    </row>
    <row r="594">
      <c r="C594" s="42"/>
    </row>
    <row r="595">
      <c r="C595" s="42"/>
    </row>
    <row r="596">
      <c r="C596" s="42"/>
    </row>
    <row r="597">
      <c r="C597" s="42"/>
    </row>
    <row r="598">
      <c r="C598" s="42"/>
    </row>
    <row r="599">
      <c r="C599" s="42"/>
    </row>
    <row r="600">
      <c r="C600" s="42"/>
    </row>
    <row r="601">
      <c r="C601" s="42"/>
    </row>
    <row r="602">
      <c r="C602" s="42"/>
    </row>
    <row r="603">
      <c r="C603" s="42"/>
    </row>
    <row r="604">
      <c r="C604" s="42"/>
    </row>
    <row r="605">
      <c r="C605" s="42"/>
    </row>
    <row r="606">
      <c r="C606" s="42"/>
    </row>
    <row r="607">
      <c r="C607" s="42"/>
    </row>
    <row r="608">
      <c r="C608" s="42"/>
    </row>
    <row r="609">
      <c r="C609" s="42"/>
    </row>
    <row r="610">
      <c r="C610" s="42"/>
    </row>
    <row r="611">
      <c r="C611" s="42"/>
    </row>
    <row r="612">
      <c r="C612" s="42"/>
    </row>
    <row r="613">
      <c r="C613" s="42"/>
    </row>
    <row r="614">
      <c r="C614" s="42"/>
    </row>
    <row r="615">
      <c r="C615" s="42"/>
    </row>
    <row r="616">
      <c r="C616" s="42"/>
    </row>
    <row r="617">
      <c r="C617" s="42"/>
    </row>
    <row r="618">
      <c r="C618" s="42"/>
    </row>
    <row r="619">
      <c r="C619" s="42"/>
    </row>
    <row r="620">
      <c r="C620" s="42"/>
    </row>
    <row r="621">
      <c r="C621" s="42"/>
    </row>
    <row r="622">
      <c r="C622" s="42"/>
    </row>
    <row r="623">
      <c r="C623" s="42"/>
    </row>
    <row r="624">
      <c r="C624" s="42"/>
    </row>
    <row r="625">
      <c r="C625" s="42"/>
    </row>
    <row r="626">
      <c r="C626" s="42"/>
    </row>
    <row r="627">
      <c r="C627" s="42"/>
    </row>
    <row r="628">
      <c r="C628" s="42"/>
    </row>
    <row r="629">
      <c r="C629" s="42"/>
    </row>
    <row r="630">
      <c r="C630" s="42"/>
    </row>
    <row r="631">
      <c r="C631" s="42"/>
    </row>
    <row r="632">
      <c r="C632" s="42"/>
    </row>
    <row r="633">
      <c r="C633" s="42"/>
    </row>
    <row r="634">
      <c r="C634" s="42"/>
    </row>
    <row r="635">
      <c r="C635" s="42"/>
    </row>
    <row r="636">
      <c r="C636" s="42"/>
    </row>
    <row r="637">
      <c r="C637" s="42"/>
    </row>
    <row r="638">
      <c r="C638" s="42"/>
    </row>
    <row r="639">
      <c r="C639" s="42"/>
    </row>
    <row r="640">
      <c r="C640" s="42"/>
    </row>
    <row r="641">
      <c r="C641" s="42"/>
    </row>
    <row r="642">
      <c r="C642" s="42"/>
    </row>
    <row r="643">
      <c r="C643" s="42"/>
    </row>
    <row r="644">
      <c r="C644" s="42"/>
    </row>
    <row r="645">
      <c r="C645" s="42"/>
    </row>
    <row r="646">
      <c r="C646" s="42"/>
    </row>
    <row r="647">
      <c r="C647" s="42"/>
    </row>
    <row r="648">
      <c r="C648" s="42"/>
    </row>
    <row r="649">
      <c r="C649" s="42"/>
    </row>
    <row r="650">
      <c r="C650" s="42"/>
    </row>
    <row r="651">
      <c r="C651" s="42"/>
    </row>
    <row r="652">
      <c r="C652" s="42"/>
    </row>
    <row r="653">
      <c r="C653" s="42"/>
    </row>
    <row r="654">
      <c r="C654" s="42"/>
    </row>
    <row r="655">
      <c r="C655" s="42"/>
    </row>
    <row r="656">
      <c r="C656" s="42"/>
    </row>
    <row r="657">
      <c r="C657" s="42"/>
    </row>
    <row r="658">
      <c r="C658" s="42"/>
    </row>
    <row r="659">
      <c r="C659" s="42"/>
    </row>
    <row r="660">
      <c r="C660" s="42"/>
    </row>
    <row r="661">
      <c r="C661" s="42"/>
    </row>
    <row r="662">
      <c r="C662" s="42"/>
    </row>
    <row r="663">
      <c r="C663" s="42"/>
    </row>
    <row r="664">
      <c r="C664" s="42"/>
    </row>
    <row r="665">
      <c r="C665" s="42"/>
    </row>
    <row r="666">
      <c r="C666" s="42"/>
    </row>
    <row r="667">
      <c r="C667" s="42"/>
    </row>
    <row r="668">
      <c r="C668" s="42"/>
    </row>
    <row r="669">
      <c r="C669" s="42"/>
    </row>
    <row r="670">
      <c r="C670" s="42"/>
    </row>
    <row r="671">
      <c r="C671" s="42"/>
    </row>
    <row r="672">
      <c r="C672" s="42"/>
    </row>
    <row r="673">
      <c r="C673" s="42"/>
    </row>
    <row r="674">
      <c r="C674" s="42"/>
    </row>
    <row r="675">
      <c r="C675" s="42"/>
    </row>
    <row r="676">
      <c r="C676" s="42"/>
    </row>
    <row r="677">
      <c r="C677" s="42"/>
    </row>
    <row r="678">
      <c r="C678" s="42"/>
    </row>
    <row r="679">
      <c r="C679" s="42"/>
    </row>
    <row r="680">
      <c r="C680" s="42"/>
    </row>
    <row r="681">
      <c r="C681" s="42"/>
    </row>
    <row r="682">
      <c r="C682" s="42"/>
    </row>
    <row r="683">
      <c r="C683" s="42"/>
    </row>
    <row r="684">
      <c r="C684" s="42"/>
    </row>
    <row r="685">
      <c r="C685" s="42"/>
    </row>
    <row r="686">
      <c r="C686" s="42"/>
    </row>
    <row r="687">
      <c r="C687" s="42"/>
    </row>
    <row r="688">
      <c r="C688" s="42"/>
    </row>
    <row r="689">
      <c r="C689" s="42"/>
    </row>
    <row r="690">
      <c r="C690" s="42"/>
    </row>
    <row r="691">
      <c r="C691" s="42"/>
    </row>
    <row r="692">
      <c r="C692" s="42"/>
    </row>
    <row r="693">
      <c r="C693" s="42"/>
    </row>
    <row r="694">
      <c r="C694" s="42"/>
    </row>
    <row r="695">
      <c r="C695" s="42"/>
    </row>
    <row r="696">
      <c r="C696" s="42"/>
    </row>
    <row r="697">
      <c r="C697" s="42"/>
    </row>
    <row r="698">
      <c r="C698" s="42"/>
    </row>
    <row r="699">
      <c r="C699" s="42"/>
    </row>
    <row r="700">
      <c r="C700" s="42"/>
    </row>
    <row r="701">
      <c r="C701" s="42"/>
    </row>
    <row r="702">
      <c r="C702" s="42"/>
    </row>
    <row r="703">
      <c r="C703" s="42"/>
    </row>
    <row r="704">
      <c r="C704" s="42"/>
    </row>
    <row r="705">
      <c r="C705" s="42"/>
    </row>
    <row r="706">
      <c r="C706" s="42"/>
    </row>
    <row r="707">
      <c r="C707" s="42"/>
    </row>
    <row r="708">
      <c r="C708" s="42"/>
    </row>
    <row r="709">
      <c r="C709" s="42"/>
    </row>
    <row r="710">
      <c r="C710" s="42"/>
    </row>
    <row r="711">
      <c r="C711" s="42"/>
    </row>
    <row r="712">
      <c r="C712" s="42"/>
    </row>
    <row r="713">
      <c r="C713" s="42"/>
    </row>
    <row r="714">
      <c r="C714" s="42"/>
    </row>
    <row r="715">
      <c r="C715" s="42"/>
    </row>
    <row r="716">
      <c r="C716" s="42"/>
    </row>
    <row r="717">
      <c r="C717" s="42"/>
    </row>
    <row r="718">
      <c r="C718" s="42"/>
    </row>
    <row r="719">
      <c r="C719" s="42"/>
    </row>
    <row r="720">
      <c r="C720" s="42"/>
    </row>
    <row r="721">
      <c r="C721" s="42"/>
    </row>
    <row r="722">
      <c r="C722" s="42"/>
    </row>
    <row r="723">
      <c r="C723" s="42"/>
    </row>
    <row r="724">
      <c r="C724" s="42"/>
    </row>
    <row r="725">
      <c r="C725" s="42"/>
    </row>
    <row r="726">
      <c r="C726" s="42"/>
    </row>
    <row r="727">
      <c r="C727" s="42"/>
    </row>
    <row r="728">
      <c r="C728" s="42"/>
    </row>
    <row r="729">
      <c r="C729" s="42"/>
    </row>
    <row r="730">
      <c r="C730" s="42"/>
    </row>
    <row r="731">
      <c r="C731" s="42"/>
    </row>
    <row r="732">
      <c r="C732" s="42"/>
    </row>
    <row r="733">
      <c r="C733" s="42"/>
    </row>
    <row r="734">
      <c r="C734" s="42"/>
    </row>
    <row r="735">
      <c r="C735" s="42"/>
    </row>
    <row r="736">
      <c r="C736" s="42"/>
    </row>
    <row r="737">
      <c r="C737" s="42"/>
    </row>
    <row r="738">
      <c r="C738" s="42"/>
    </row>
    <row r="739">
      <c r="C739" s="42"/>
    </row>
    <row r="740">
      <c r="C740" s="42"/>
    </row>
    <row r="741">
      <c r="C741" s="42"/>
    </row>
    <row r="742">
      <c r="C742" s="42"/>
    </row>
    <row r="743">
      <c r="C743" s="42"/>
    </row>
    <row r="744">
      <c r="C744" s="42"/>
    </row>
    <row r="745">
      <c r="C745" s="42"/>
    </row>
    <row r="746">
      <c r="C746" s="42"/>
    </row>
    <row r="747">
      <c r="C747" s="42"/>
    </row>
    <row r="748">
      <c r="C748" s="42"/>
    </row>
    <row r="749">
      <c r="C749" s="42"/>
    </row>
    <row r="750">
      <c r="C750" s="42"/>
    </row>
    <row r="751">
      <c r="C751" s="42"/>
    </row>
    <row r="752">
      <c r="C752" s="42"/>
    </row>
    <row r="753">
      <c r="C753" s="42"/>
    </row>
    <row r="754">
      <c r="C754" s="42"/>
    </row>
    <row r="755">
      <c r="C755" s="42"/>
    </row>
    <row r="756">
      <c r="C756" s="42"/>
    </row>
    <row r="757">
      <c r="C757" s="42"/>
    </row>
    <row r="758">
      <c r="C758" s="42"/>
    </row>
    <row r="759">
      <c r="C759" s="42"/>
    </row>
    <row r="760">
      <c r="C760" s="42"/>
    </row>
    <row r="761">
      <c r="C761" s="42"/>
    </row>
    <row r="762">
      <c r="C762" s="42"/>
    </row>
    <row r="763">
      <c r="C763" s="42"/>
    </row>
    <row r="764">
      <c r="C764" s="42"/>
    </row>
    <row r="765">
      <c r="C765" s="42"/>
    </row>
    <row r="766">
      <c r="C766" s="42"/>
    </row>
    <row r="767">
      <c r="C767" s="42"/>
    </row>
    <row r="768">
      <c r="C768" s="42"/>
    </row>
    <row r="769">
      <c r="C769" s="42"/>
    </row>
    <row r="770">
      <c r="C770" s="42"/>
    </row>
    <row r="771">
      <c r="C771" s="42"/>
    </row>
    <row r="772">
      <c r="C772" s="42"/>
    </row>
    <row r="773">
      <c r="C773" s="42"/>
    </row>
    <row r="774">
      <c r="C774" s="42"/>
    </row>
    <row r="775">
      <c r="C775" s="42"/>
    </row>
    <row r="776">
      <c r="C776" s="42"/>
    </row>
    <row r="777">
      <c r="C777" s="42"/>
    </row>
    <row r="778">
      <c r="C778" s="42"/>
    </row>
    <row r="779">
      <c r="C779" s="42"/>
    </row>
    <row r="780">
      <c r="C780" s="42"/>
    </row>
    <row r="781">
      <c r="C781" s="42"/>
    </row>
    <row r="782">
      <c r="C782" s="42"/>
    </row>
    <row r="783">
      <c r="C783" s="42"/>
    </row>
    <row r="784">
      <c r="C784" s="42"/>
    </row>
    <row r="785">
      <c r="C785" s="42"/>
    </row>
    <row r="786">
      <c r="C786" s="42"/>
    </row>
    <row r="787">
      <c r="C787" s="42"/>
    </row>
    <row r="788">
      <c r="C788" s="42"/>
    </row>
    <row r="789">
      <c r="C789" s="42"/>
    </row>
    <row r="790">
      <c r="C790" s="42"/>
    </row>
    <row r="791">
      <c r="C791" s="42"/>
    </row>
    <row r="792">
      <c r="C792" s="42"/>
    </row>
    <row r="793">
      <c r="C793" s="42"/>
    </row>
    <row r="794">
      <c r="C794" s="42"/>
    </row>
    <row r="795">
      <c r="C795" s="42"/>
    </row>
    <row r="796">
      <c r="C796" s="42"/>
    </row>
    <row r="797">
      <c r="C797" s="42"/>
    </row>
    <row r="798">
      <c r="C798" s="42"/>
    </row>
    <row r="799">
      <c r="C799" s="42"/>
    </row>
    <row r="800">
      <c r="C800" s="42"/>
    </row>
    <row r="801">
      <c r="C801" s="42"/>
    </row>
    <row r="802">
      <c r="C802" s="42"/>
    </row>
    <row r="803">
      <c r="C803" s="42"/>
    </row>
    <row r="804">
      <c r="C804" s="42"/>
    </row>
    <row r="805">
      <c r="C805" s="42"/>
    </row>
    <row r="806">
      <c r="C806" s="42"/>
    </row>
    <row r="807">
      <c r="C807" s="42"/>
    </row>
    <row r="808">
      <c r="C808" s="42"/>
    </row>
    <row r="809">
      <c r="C809" s="42"/>
    </row>
    <row r="810">
      <c r="C810" s="42"/>
    </row>
    <row r="811">
      <c r="C811" s="42"/>
    </row>
    <row r="812">
      <c r="C812" s="42"/>
    </row>
    <row r="813">
      <c r="C813" s="42"/>
    </row>
    <row r="814">
      <c r="C814" s="42"/>
    </row>
    <row r="815">
      <c r="C815" s="42"/>
    </row>
    <row r="816">
      <c r="C816" s="42"/>
    </row>
    <row r="817">
      <c r="C817" s="42"/>
    </row>
    <row r="818">
      <c r="C818" s="42"/>
    </row>
    <row r="819">
      <c r="C819" s="42"/>
    </row>
    <row r="820">
      <c r="C820" s="42"/>
    </row>
    <row r="821">
      <c r="C821" s="42"/>
    </row>
    <row r="822">
      <c r="C822" s="42"/>
    </row>
    <row r="823">
      <c r="C823" s="42"/>
    </row>
    <row r="824">
      <c r="C824" s="42"/>
    </row>
    <row r="825">
      <c r="C825" s="42"/>
    </row>
    <row r="826">
      <c r="C826" s="42"/>
    </row>
    <row r="827">
      <c r="C827" s="42"/>
    </row>
    <row r="828">
      <c r="C828" s="42"/>
    </row>
    <row r="829">
      <c r="C829" s="42"/>
    </row>
    <row r="830">
      <c r="C830" s="42"/>
    </row>
    <row r="831">
      <c r="C831" s="42"/>
    </row>
    <row r="832">
      <c r="C832" s="42"/>
    </row>
    <row r="833">
      <c r="C833" s="42"/>
    </row>
    <row r="834">
      <c r="C834" s="42"/>
    </row>
    <row r="835">
      <c r="C835" s="42"/>
    </row>
    <row r="836">
      <c r="C836" s="42"/>
    </row>
    <row r="837">
      <c r="C837" s="42"/>
    </row>
    <row r="838">
      <c r="C838" s="42"/>
    </row>
    <row r="839">
      <c r="C839" s="42"/>
    </row>
    <row r="840">
      <c r="C840" s="42"/>
    </row>
    <row r="841">
      <c r="C841" s="42"/>
    </row>
    <row r="842">
      <c r="C842" s="42"/>
    </row>
    <row r="843">
      <c r="C843" s="42"/>
    </row>
    <row r="844">
      <c r="C844" s="42"/>
    </row>
    <row r="845">
      <c r="C845" s="42"/>
    </row>
    <row r="846">
      <c r="C846" s="42"/>
    </row>
    <row r="847">
      <c r="C847" s="42"/>
    </row>
    <row r="848">
      <c r="C848" s="42"/>
    </row>
    <row r="849">
      <c r="C849" s="42"/>
    </row>
    <row r="850">
      <c r="C850" s="42"/>
    </row>
    <row r="851">
      <c r="C851" s="42"/>
    </row>
    <row r="852">
      <c r="C852" s="42"/>
    </row>
    <row r="853">
      <c r="C853" s="42"/>
    </row>
    <row r="854">
      <c r="C854" s="42"/>
    </row>
    <row r="855">
      <c r="C855" s="42"/>
    </row>
    <row r="856">
      <c r="C856" s="42"/>
    </row>
    <row r="857">
      <c r="C857" s="42"/>
    </row>
    <row r="858">
      <c r="C858" s="42"/>
    </row>
    <row r="859">
      <c r="C859" s="42"/>
    </row>
    <row r="860">
      <c r="C860" s="42"/>
    </row>
    <row r="861">
      <c r="C861" s="42"/>
    </row>
    <row r="862">
      <c r="C862" s="42"/>
    </row>
    <row r="863">
      <c r="C863" s="42"/>
    </row>
    <row r="864">
      <c r="C864" s="42"/>
    </row>
    <row r="865">
      <c r="C865" s="42"/>
    </row>
    <row r="866">
      <c r="C866" s="42"/>
    </row>
    <row r="867">
      <c r="C867" s="42"/>
    </row>
    <row r="868">
      <c r="C868" s="42"/>
    </row>
    <row r="869">
      <c r="C869" s="42"/>
    </row>
    <row r="870">
      <c r="C870" s="42"/>
    </row>
    <row r="871">
      <c r="C871" s="42"/>
    </row>
    <row r="872">
      <c r="C872" s="42"/>
    </row>
    <row r="873">
      <c r="C873" s="42"/>
    </row>
    <row r="874">
      <c r="C874" s="42"/>
    </row>
    <row r="875">
      <c r="C875" s="42"/>
    </row>
    <row r="876">
      <c r="C876" s="42"/>
    </row>
    <row r="877">
      <c r="C877" s="42"/>
    </row>
    <row r="878">
      <c r="C878" s="42"/>
    </row>
    <row r="879">
      <c r="C879" s="42"/>
    </row>
    <row r="880">
      <c r="C880" s="42"/>
    </row>
    <row r="881">
      <c r="C881" s="42"/>
    </row>
    <row r="882">
      <c r="C882" s="42"/>
    </row>
    <row r="883">
      <c r="C883" s="42"/>
    </row>
    <row r="884">
      <c r="C884" s="42"/>
    </row>
    <row r="885">
      <c r="C885" s="42"/>
    </row>
    <row r="886">
      <c r="C886" s="42"/>
    </row>
    <row r="887">
      <c r="C887" s="42"/>
    </row>
    <row r="888">
      <c r="C888" s="42"/>
    </row>
    <row r="889">
      <c r="C889" s="42"/>
    </row>
    <row r="890">
      <c r="C890" s="42"/>
    </row>
    <row r="891">
      <c r="C891" s="42"/>
    </row>
    <row r="892">
      <c r="C892" s="42"/>
    </row>
    <row r="893">
      <c r="C893" s="42"/>
    </row>
    <row r="894">
      <c r="C894" s="42"/>
    </row>
    <row r="895">
      <c r="C895" s="42"/>
    </row>
    <row r="896">
      <c r="C896" s="42"/>
    </row>
    <row r="897">
      <c r="C897" s="42"/>
    </row>
    <row r="898">
      <c r="C898" s="42"/>
    </row>
    <row r="899">
      <c r="C899" s="42"/>
    </row>
    <row r="900">
      <c r="C900" s="42"/>
    </row>
    <row r="901">
      <c r="C901" s="42"/>
    </row>
    <row r="902">
      <c r="C902" s="42"/>
    </row>
    <row r="903">
      <c r="C903" s="42"/>
    </row>
    <row r="904">
      <c r="C904" s="42"/>
    </row>
    <row r="905">
      <c r="C905" s="42"/>
    </row>
    <row r="906">
      <c r="C906" s="42"/>
    </row>
  </sheetData>
  <mergeCells count="110">
    <mergeCell ref="G41:G43"/>
    <mergeCell ref="G44:G46"/>
    <mergeCell ref="G18:G20"/>
    <mergeCell ref="G21:G23"/>
    <mergeCell ref="G24:G26"/>
    <mergeCell ref="G27:G29"/>
    <mergeCell ref="G30:G32"/>
    <mergeCell ref="G33:G35"/>
    <mergeCell ref="G38:G40"/>
    <mergeCell ref="B59:B61"/>
    <mergeCell ref="C59:C61"/>
    <mergeCell ref="A53:A55"/>
    <mergeCell ref="B53:B55"/>
    <mergeCell ref="C53:C55"/>
    <mergeCell ref="A56:A58"/>
    <mergeCell ref="B56:B58"/>
    <mergeCell ref="C56:C58"/>
    <mergeCell ref="A59:A61"/>
    <mergeCell ref="B30:B32"/>
    <mergeCell ref="C30:C32"/>
    <mergeCell ref="A24:A26"/>
    <mergeCell ref="B24:B26"/>
    <mergeCell ref="C24:C26"/>
    <mergeCell ref="A27:A29"/>
    <mergeCell ref="B27:B29"/>
    <mergeCell ref="C27:C29"/>
    <mergeCell ref="A30:A32"/>
    <mergeCell ref="B41:B43"/>
    <mergeCell ref="C41:C43"/>
    <mergeCell ref="A33:A35"/>
    <mergeCell ref="B33:B35"/>
    <mergeCell ref="C33:C35"/>
    <mergeCell ref="A38:A40"/>
    <mergeCell ref="B38:B40"/>
    <mergeCell ref="C38:C40"/>
    <mergeCell ref="A41:A43"/>
    <mergeCell ref="B50:B52"/>
    <mergeCell ref="C50:C52"/>
    <mergeCell ref="A44:A46"/>
    <mergeCell ref="B44:B46"/>
    <mergeCell ref="C44:C46"/>
    <mergeCell ref="A47:A49"/>
    <mergeCell ref="B47:B49"/>
    <mergeCell ref="C47:C49"/>
    <mergeCell ref="A50:A52"/>
    <mergeCell ref="B68:B70"/>
    <mergeCell ref="C68:C70"/>
    <mergeCell ref="A62:A64"/>
    <mergeCell ref="B62:B64"/>
    <mergeCell ref="C62:C64"/>
    <mergeCell ref="A65:A67"/>
    <mergeCell ref="B65:B67"/>
    <mergeCell ref="C65:C67"/>
    <mergeCell ref="A68:A70"/>
    <mergeCell ref="F62:F64"/>
    <mergeCell ref="F65:F67"/>
    <mergeCell ref="F68:F70"/>
    <mergeCell ref="G65:G67"/>
    <mergeCell ref="G68:G70"/>
    <mergeCell ref="F53:F55"/>
    <mergeCell ref="G53:G55"/>
    <mergeCell ref="F56:F58"/>
    <mergeCell ref="G56:G58"/>
    <mergeCell ref="F59:F61"/>
    <mergeCell ref="G59:G61"/>
    <mergeCell ref="G62:G64"/>
    <mergeCell ref="A3:A5"/>
    <mergeCell ref="B3:B5"/>
    <mergeCell ref="C3:C5"/>
    <mergeCell ref="G3:G5"/>
    <mergeCell ref="B6:B8"/>
    <mergeCell ref="C6:C8"/>
    <mergeCell ref="G6:G8"/>
    <mergeCell ref="A6:A8"/>
    <mergeCell ref="A9:A11"/>
    <mergeCell ref="B9:B11"/>
    <mergeCell ref="C9:C11"/>
    <mergeCell ref="A12:A14"/>
    <mergeCell ref="B12:B14"/>
    <mergeCell ref="C12:C14"/>
    <mergeCell ref="B21:B23"/>
    <mergeCell ref="C21:C23"/>
    <mergeCell ref="F3:F5"/>
    <mergeCell ref="F6:F8"/>
    <mergeCell ref="F9:F11"/>
    <mergeCell ref="G9:G11"/>
    <mergeCell ref="F12:F14"/>
    <mergeCell ref="G12:G14"/>
    <mergeCell ref="G15:G17"/>
    <mergeCell ref="A15:A17"/>
    <mergeCell ref="B15:B17"/>
    <mergeCell ref="C15:C17"/>
    <mergeCell ref="A18:A20"/>
    <mergeCell ref="B18:B20"/>
    <mergeCell ref="C18:C20"/>
    <mergeCell ref="A21:A23"/>
    <mergeCell ref="F15:F17"/>
    <mergeCell ref="F18:F20"/>
    <mergeCell ref="F21:F23"/>
    <mergeCell ref="F24:F26"/>
    <mergeCell ref="F27:F29"/>
    <mergeCell ref="F30:F32"/>
    <mergeCell ref="F33:F35"/>
    <mergeCell ref="F38:F40"/>
    <mergeCell ref="F41:F43"/>
    <mergeCell ref="F44:F46"/>
    <mergeCell ref="F47:F49"/>
    <mergeCell ref="G47:G49"/>
    <mergeCell ref="F50:F52"/>
    <mergeCell ref="G50:G52"/>
  </mergeCells>
  <conditionalFormatting sqref="C3:C35">
    <cfRule type="colorScale" priority="1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conditionalFormatting sqref="C38:C70">
    <cfRule type="colorScale" priority="2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printOptions/>
  <pageMargins bottom="0.75" footer="0.0" header="0.0" left="0.7" right="0.7" top="0.75"/>
  <pageSetup scale="5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5.86"/>
    <col customWidth="1" min="3" max="3" width="8.57"/>
    <col customWidth="1" min="4" max="4" width="8.0"/>
  </cols>
  <sheetData>
    <row r="1">
      <c r="C1" s="22"/>
      <c r="D1" s="22"/>
    </row>
    <row r="2">
      <c r="A2" s="43" t="s">
        <v>66</v>
      </c>
      <c r="B2" s="43" t="s">
        <v>238</v>
      </c>
      <c r="C2" s="44" t="s">
        <v>239</v>
      </c>
      <c r="D2" s="44" t="s">
        <v>240</v>
      </c>
    </row>
    <row r="3">
      <c r="A3" s="43" t="s">
        <v>3</v>
      </c>
      <c r="B3" s="43" t="s">
        <v>4</v>
      </c>
      <c r="C3" s="5">
        <f>GRI_v8_2!C2</f>
        <v>8</v>
      </c>
      <c r="D3" s="44">
        <f t="shared" ref="D3:D50" si="1">_xlfn.RANK.EQ(C3,$C$2:$C$49,1)+COUNTIF($C$2:C3,C3)-1</f>
        <v>38</v>
      </c>
    </row>
    <row r="4">
      <c r="A4" s="43" t="s">
        <v>3</v>
      </c>
      <c r="B4" s="43" t="s">
        <v>5</v>
      </c>
      <c r="C4" s="5">
        <f>GRI_v8!C4</f>
        <v>3</v>
      </c>
      <c r="D4" s="44">
        <f t="shared" si="1"/>
        <v>17</v>
      </c>
    </row>
    <row r="5">
      <c r="A5" s="43" t="s">
        <v>3</v>
      </c>
      <c r="B5" s="43" t="s">
        <v>6</v>
      </c>
      <c r="C5" s="5">
        <f>GRI_v8!C5</f>
        <v>5</v>
      </c>
      <c r="D5" s="44">
        <f t="shared" si="1"/>
        <v>24</v>
      </c>
    </row>
    <row r="6">
      <c r="A6" s="43" t="s">
        <v>3</v>
      </c>
      <c r="B6" s="43" t="s">
        <v>7</v>
      </c>
      <c r="C6" s="5">
        <f>GRI_v8!C6</f>
        <v>4</v>
      </c>
      <c r="D6" s="44">
        <f t="shared" si="1"/>
        <v>20</v>
      </c>
    </row>
    <row r="7">
      <c r="A7" s="43" t="s">
        <v>3</v>
      </c>
      <c r="B7" s="43" t="s">
        <v>8</v>
      </c>
      <c r="C7" s="5">
        <f>GRI_v8!C7</f>
        <v>6</v>
      </c>
      <c r="D7" s="44">
        <f t="shared" si="1"/>
        <v>27</v>
      </c>
    </row>
    <row r="8">
      <c r="A8" s="43" t="s">
        <v>3</v>
      </c>
      <c r="B8" s="43" t="s">
        <v>9</v>
      </c>
      <c r="C8" s="5">
        <f>GRI_v8!C8</f>
        <v>8</v>
      </c>
      <c r="D8" s="44">
        <f t="shared" si="1"/>
        <v>39</v>
      </c>
    </row>
    <row r="9">
      <c r="A9" s="43" t="s">
        <v>10</v>
      </c>
      <c r="B9" s="43" t="s">
        <v>11</v>
      </c>
      <c r="C9" s="5">
        <f>GRI_v8!C9</f>
        <v>9</v>
      </c>
      <c r="D9" s="44">
        <f t="shared" si="1"/>
        <v>45</v>
      </c>
    </row>
    <row r="10">
      <c r="A10" s="43" t="s">
        <v>10</v>
      </c>
      <c r="B10" s="43" t="s">
        <v>12</v>
      </c>
      <c r="C10" s="5">
        <f>GRI_v8!C10</f>
        <v>2</v>
      </c>
      <c r="D10" s="44">
        <f t="shared" si="1"/>
        <v>5</v>
      </c>
    </row>
    <row r="11">
      <c r="A11" s="43" t="s">
        <v>10</v>
      </c>
      <c r="B11" s="43" t="s">
        <v>13</v>
      </c>
      <c r="C11" s="5">
        <f>GRI_v8!C11</f>
        <v>3</v>
      </c>
      <c r="D11" s="44">
        <f t="shared" si="1"/>
        <v>18</v>
      </c>
    </row>
    <row r="12">
      <c r="A12" s="43" t="s">
        <v>10</v>
      </c>
      <c r="B12" s="43" t="s">
        <v>14</v>
      </c>
      <c r="C12" s="5">
        <f>GRI_v8!C12</f>
        <v>4</v>
      </c>
      <c r="D12" s="44">
        <f t="shared" si="1"/>
        <v>21</v>
      </c>
    </row>
    <row r="13">
      <c r="A13" s="43" t="s">
        <v>10</v>
      </c>
      <c r="B13" s="43" t="s">
        <v>15</v>
      </c>
      <c r="C13" s="5">
        <f>GRI_v8!C13</f>
        <v>5</v>
      </c>
      <c r="D13" s="44">
        <f t="shared" si="1"/>
        <v>25</v>
      </c>
    </row>
    <row r="14">
      <c r="A14" s="43" t="s">
        <v>10</v>
      </c>
      <c r="B14" s="43" t="s">
        <v>16</v>
      </c>
      <c r="C14" s="5">
        <f>GRI_v8!C14</f>
        <v>6</v>
      </c>
      <c r="D14" s="44">
        <f t="shared" si="1"/>
        <v>28</v>
      </c>
    </row>
    <row r="15">
      <c r="A15" s="43" t="s">
        <v>17</v>
      </c>
      <c r="B15" s="43" t="s">
        <v>18</v>
      </c>
      <c r="C15" s="5">
        <f>GRI_v8!C15</f>
        <v>7</v>
      </c>
      <c r="D15" s="44">
        <f t="shared" si="1"/>
        <v>36</v>
      </c>
    </row>
    <row r="16">
      <c r="A16" s="43" t="s">
        <v>17</v>
      </c>
      <c r="B16" s="43" t="s">
        <v>19</v>
      </c>
      <c r="C16" s="5">
        <f>GRI_v8!C16</f>
        <v>7</v>
      </c>
      <c r="D16" s="44">
        <f t="shared" si="1"/>
        <v>37</v>
      </c>
    </row>
    <row r="17">
      <c r="A17" s="43" t="s">
        <v>17</v>
      </c>
      <c r="B17" s="43" t="s">
        <v>20</v>
      </c>
      <c r="C17" s="5">
        <f>GRI_v8!C17</f>
        <v>8</v>
      </c>
      <c r="D17" s="44">
        <f t="shared" si="1"/>
        <v>40</v>
      </c>
    </row>
    <row r="18">
      <c r="A18" s="43" t="s">
        <v>17</v>
      </c>
      <c r="B18" s="43" t="s">
        <v>21</v>
      </c>
      <c r="C18" s="5">
        <f>GRI_v8!C18</f>
        <v>9</v>
      </c>
      <c r="D18" s="44">
        <f t="shared" si="1"/>
        <v>46</v>
      </c>
    </row>
    <row r="19">
      <c r="A19" s="43" t="s">
        <v>17</v>
      </c>
      <c r="B19" s="43" t="s">
        <v>22</v>
      </c>
      <c r="C19" s="5">
        <f>GRI_v8!C19</f>
        <v>8</v>
      </c>
      <c r="D19" s="44">
        <f t="shared" si="1"/>
        <v>41</v>
      </c>
    </row>
    <row r="20">
      <c r="A20" s="43" t="s">
        <v>241</v>
      </c>
      <c r="B20" s="43" t="s">
        <v>24</v>
      </c>
      <c r="C20" s="5">
        <f>GRI_v8!C20</f>
        <v>5</v>
      </c>
      <c r="D20" s="44">
        <f t="shared" si="1"/>
        <v>26</v>
      </c>
    </row>
    <row r="21">
      <c r="A21" s="43" t="s">
        <v>241</v>
      </c>
      <c r="B21" s="43" t="s">
        <v>25</v>
      </c>
      <c r="C21" s="5">
        <f>GRI_v8!C21</f>
        <v>2</v>
      </c>
      <c r="D21" s="44">
        <f t="shared" si="1"/>
        <v>6</v>
      </c>
    </row>
    <row r="22">
      <c r="A22" s="43" t="s">
        <v>241</v>
      </c>
      <c r="B22" s="43" t="s">
        <v>26</v>
      </c>
      <c r="C22" s="5">
        <f>GRI_v8!C22</f>
        <v>4</v>
      </c>
      <c r="D22" s="44">
        <f t="shared" si="1"/>
        <v>22</v>
      </c>
    </row>
    <row r="23">
      <c r="A23" s="43" t="s">
        <v>27</v>
      </c>
      <c r="B23" s="43" t="s">
        <v>28</v>
      </c>
      <c r="C23" s="5">
        <f>GRI_v8!C23</f>
        <v>1</v>
      </c>
      <c r="D23" s="44">
        <f t="shared" si="1"/>
        <v>1</v>
      </c>
    </row>
    <row r="24">
      <c r="A24" s="43" t="s">
        <v>27</v>
      </c>
      <c r="B24" s="43" t="s">
        <v>29</v>
      </c>
      <c r="C24" s="5">
        <f>GRI_v8!C24</f>
        <v>3</v>
      </c>
      <c r="D24" s="44">
        <f t="shared" si="1"/>
        <v>19</v>
      </c>
    </row>
    <row r="25">
      <c r="A25" s="43" t="s">
        <v>27</v>
      </c>
      <c r="B25" s="43" t="s">
        <v>30</v>
      </c>
      <c r="C25" s="5">
        <f>GRI_v8!C25</f>
        <v>4</v>
      </c>
      <c r="D25" s="44">
        <f t="shared" si="1"/>
        <v>23</v>
      </c>
    </row>
    <row r="26">
      <c r="A26" s="43" t="s">
        <v>27</v>
      </c>
      <c r="B26" s="43" t="s">
        <v>31</v>
      </c>
      <c r="C26" s="5">
        <f>GRI_v8!C26</f>
        <v>1</v>
      </c>
      <c r="D26" s="44">
        <f t="shared" si="1"/>
        <v>2</v>
      </c>
    </row>
    <row r="27">
      <c r="A27" s="43" t="s">
        <v>27</v>
      </c>
      <c r="B27" s="43" t="s">
        <v>32</v>
      </c>
      <c r="C27" s="5">
        <f>GRI_v8!C27</f>
        <v>1</v>
      </c>
      <c r="D27" s="44">
        <f t="shared" si="1"/>
        <v>3</v>
      </c>
    </row>
    <row r="28">
      <c r="A28" s="43" t="s">
        <v>27</v>
      </c>
      <c r="B28" s="43" t="s">
        <v>33</v>
      </c>
      <c r="C28" s="5">
        <f>GRI_v8!C28</f>
        <v>1</v>
      </c>
      <c r="D28" s="44">
        <f t="shared" si="1"/>
        <v>4</v>
      </c>
    </row>
    <row r="29">
      <c r="A29" s="43" t="s">
        <v>27</v>
      </c>
      <c r="B29" s="43" t="s">
        <v>34</v>
      </c>
      <c r="C29" s="5">
        <f>GRI_v8!C29</f>
        <v>2</v>
      </c>
      <c r="D29" s="44">
        <f t="shared" si="1"/>
        <v>7</v>
      </c>
    </row>
    <row r="30">
      <c r="A30" s="43" t="s">
        <v>35</v>
      </c>
      <c r="B30" s="43" t="s">
        <v>36</v>
      </c>
      <c r="C30" s="5">
        <f>GRI_v8!C30</f>
        <v>2</v>
      </c>
      <c r="D30" s="44">
        <f t="shared" si="1"/>
        <v>8</v>
      </c>
    </row>
    <row r="31">
      <c r="A31" s="43" t="s">
        <v>35</v>
      </c>
      <c r="B31" s="43" t="s">
        <v>37</v>
      </c>
      <c r="C31" s="5">
        <f>GRI_v8!C31</f>
        <v>2</v>
      </c>
      <c r="D31" s="44">
        <f t="shared" si="1"/>
        <v>9</v>
      </c>
    </row>
    <row r="32">
      <c r="A32" s="43" t="s">
        <v>35</v>
      </c>
      <c r="B32" s="43" t="s">
        <v>38</v>
      </c>
      <c r="C32" s="5">
        <f>GRI_v8!C32</f>
        <v>2</v>
      </c>
      <c r="D32" s="44">
        <f t="shared" si="1"/>
        <v>10</v>
      </c>
    </row>
    <row r="33">
      <c r="A33" s="43" t="s">
        <v>35</v>
      </c>
      <c r="B33" s="43" t="s">
        <v>39</v>
      </c>
      <c r="C33" s="5">
        <f>GRI_v8!C33</f>
        <v>8</v>
      </c>
      <c r="D33" s="44">
        <f t="shared" si="1"/>
        <v>42</v>
      </c>
    </row>
    <row r="34">
      <c r="A34" s="43" t="s">
        <v>35</v>
      </c>
      <c r="B34" s="43" t="s">
        <v>40</v>
      </c>
      <c r="C34" s="5">
        <f>GRI_v8!C34</f>
        <v>2</v>
      </c>
      <c r="D34" s="44">
        <f t="shared" si="1"/>
        <v>11</v>
      </c>
    </row>
    <row r="35">
      <c r="A35" s="43" t="s">
        <v>35</v>
      </c>
      <c r="B35" s="43" t="s">
        <v>41</v>
      </c>
      <c r="C35" s="5">
        <f>GRI_v8!C35</f>
        <v>2</v>
      </c>
      <c r="D35" s="44">
        <f t="shared" si="1"/>
        <v>12</v>
      </c>
    </row>
    <row r="36">
      <c r="A36" s="43" t="s">
        <v>35</v>
      </c>
      <c r="B36" s="43" t="s">
        <v>42</v>
      </c>
      <c r="C36" s="5">
        <f>GRI_v8!C36</f>
        <v>2</v>
      </c>
      <c r="D36" s="44">
        <f t="shared" si="1"/>
        <v>13</v>
      </c>
    </row>
    <row r="37">
      <c r="A37" s="43" t="s">
        <v>35</v>
      </c>
      <c r="B37" s="43" t="s">
        <v>43</v>
      </c>
      <c r="C37" s="5">
        <f>GRI_v8!C37</f>
        <v>2</v>
      </c>
      <c r="D37" s="44">
        <f t="shared" si="1"/>
        <v>14</v>
      </c>
    </row>
    <row r="38">
      <c r="A38" s="43" t="s">
        <v>35</v>
      </c>
      <c r="B38" s="43" t="s">
        <v>44</v>
      </c>
      <c r="C38" s="5">
        <f>GRI_v8!C38</f>
        <v>2</v>
      </c>
      <c r="D38" s="44">
        <f t="shared" si="1"/>
        <v>15</v>
      </c>
    </row>
    <row r="39">
      <c r="A39" s="43" t="s">
        <v>35</v>
      </c>
      <c r="B39" s="43" t="s">
        <v>45</v>
      </c>
      <c r="C39" s="5">
        <f>GRI_v8!C39</f>
        <v>2</v>
      </c>
      <c r="D39" s="44">
        <f t="shared" si="1"/>
        <v>16</v>
      </c>
    </row>
    <row r="40">
      <c r="A40" s="43" t="s">
        <v>35</v>
      </c>
      <c r="B40" s="43" t="s">
        <v>46</v>
      </c>
      <c r="C40" s="5">
        <f>GRI_v8!C40</f>
        <v>8</v>
      </c>
      <c r="D40" s="44">
        <f t="shared" si="1"/>
        <v>43</v>
      </c>
    </row>
    <row r="41">
      <c r="A41" s="43" t="s">
        <v>47</v>
      </c>
      <c r="B41" s="43" t="s">
        <v>48</v>
      </c>
      <c r="C41" s="5">
        <f>GRI_v8!C41</f>
        <v>9</v>
      </c>
      <c r="D41" s="44">
        <f t="shared" si="1"/>
        <v>47</v>
      </c>
    </row>
    <row r="42">
      <c r="A42" s="43" t="s">
        <v>47</v>
      </c>
      <c r="B42" s="43" t="s">
        <v>49</v>
      </c>
      <c r="C42" s="45">
        <f>GRI_v8!C42</f>
        <v>6</v>
      </c>
      <c r="D42" s="44">
        <f t="shared" si="1"/>
        <v>29</v>
      </c>
    </row>
    <row r="43">
      <c r="A43" s="43" t="s">
        <v>47</v>
      </c>
      <c r="B43" s="43" t="s">
        <v>50</v>
      </c>
      <c r="C43" s="45">
        <f>GRI_v8!C43</f>
        <v>8</v>
      </c>
      <c r="D43" s="44">
        <f t="shared" si="1"/>
        <v>44</v>
      </c>
    </row>
    <row r="44">
      <c r="A44" s="43" t="s">
        <v>47</v>
      </c>
      <c r="B44" s="43" t="s">
        <v>51</v>
      </c>
      <c r="C44" s="45">
        <f>GRI_v8!C44</f>
        <v>6</v>
      </c>
      <c r="D44" s="44">
        <f t="shared" si="1"/>
        <v>30</v>
      </c>
    </row>
    <row r="45">
      <c r="A45" s="43" t="s">
        <v>47</v>
      </c>
      <c r="B45" s="43" t="s">
        <v>52</v>
      </c>
      <c r="C45" s="45">
        <f>GRI_v8!C45</f>
        <v>6</v>
      </c>
      <c r="D45" s="44">
        <f t="shared" si="1"/>
        <v>31</v>
      </c>
    </row>
    <row r="46">
      <c r="A46" s="43" t="s">
        <v>47</v>
      </c>
      <c r="B46" s="43" t="s">
        <v>53</v>
      </c>
      <c r="C46" s="45">
        <f>GRI_v8!C46</f>
        <v>6</v>
      </c>
      <c r="D46" s="44">
        <f t="shared" si="1"/>
        <v>32</v>
      </c>
    </row>
    <row r="47">
      <c r="A47" s="43" t="s">
        <v>47</v>
      </c>
      <c r="B47" s="43" t="s">
        <v>54</v>
      </c>
      <c r="C47" s="45">
        <f>GRI_v8!C47</f>
        <v>6</v>
      </c>
      <c r="D47" s="44">
        <f t="shared" si="1"/>
        <v>33</v>
      </c>
    </row>
    <row r="48">
      <c r="A48" s="43" t="s">
        <v>47</v>
      </c>
      <c r="B48" s="43" t="s">
        <v>55</v>
      </c>
      <c r="C48" s="45">
        <f>GRI_v8!C48</f>
        <v>6</v>
      </c>
      <c r="D48" s="44">
        <f t="shared" si="1"/>
        <v>34</v>
      </c>
    </row>
    <row r="49">
      <c r="A49" s="43" t="s">
        <v>47</v>
      </c>
      <c r="B49" s="43" t="s">
        <v>56</v>
      </c>
      <c r="C49" s="45">
        <f>GRI_v8!C49</f>
        <v>6</v>
      </c>
      <c r="D49" s="44">
        <f t="shared" si="1"/>
        <v>35</v>
      </c>
    </row>
    <row r="50">
      <c r="A50" s="43" t="s">
        <v>47</v>
      </c>
      <c r="B50" s="43" t="s">
        <v>57</v>
      </c>
      <c r="C50" s="45">
        <f>GRI_v8!C49</f>
        <v>6</v>
      </c>
      <c r="D50" s="44">
        <f t="shared" si="1"/>
        <v>36</v>
      </c>
    </row>
    <row r="51">
      <c r="C51" s="22"/>
      <c r="D51" s="22"/>
    </row>
    <row r="52">
      <c r="C52" s="22"/>
      <c r="D52" s="22"/>
    </row>
    <row r="53">
      <c r="C53" s="22"/>
      <c r="D53" s="22"/>
    </row>
    <row r="54">
      <c r="C54" s="22"/>
      <c r="D54" s="22"/>
    </row>
    <row r="55">
      <c r="C55" s="22"/>
      <c r="D55" s="22"/>
    </row>
    <row r="56">
      <c r="C56" s="22"/>
      <c r="D56" s="22"/>
    </row>
    <row r="57">
      <c r="C57" s="22"/>
      <c r="D57" s="22"/>
    </row>
    <row r="58">
      <c r="C58" s="22"/>
      <c r="D58" s="22"/>
    </row>
    <row r="59">
      <c r="C59" s="22"/>
      <c r="D59" s="22"/>
    </row>
    <row r="60">
      <c r="C60" s="22"/>
      <c r="D60" s="22"/>
    </row>
    <row r="61">
      <c r="C61" s="22"/>
      <c r="D61" s="22"/>
    </row>
    <row r="62">
      <c r="C62" s="22"/>
      <c r="D62" s="22"/>
    </row>
    <row r="63">
      <c r="C63" s="22"/>
      <c r="D63" s="22"/>
    </row>
    <row r="64">
      <c r="C64" s="22"/>
      <c r="D64" s="22"/>
    </row>
    <row r="65">
      <c r="C65" s="22"/>
      <c r="D65" s="22"/>
    </row>
    <row r="66">
      <c r="C66" s="22"/>
      <c r="D66" s="22"/>
    </row>
    <row r="67">
      <c r="C67" s="22"/>
      <c r="D67" s="22"/>
    </row>
    <row r="68">
      <c r="C68" s="22"/>
      <c r="D68" s="22"/>
    </row>
    <row r="69">
      <c r="C69" s="22"/>
      <c r="D69" s="22"/>
    </row>
    <row r="70">
      <c r="C70" s="22"/>
      <c r="D70" s="22"/>
    </row>
    <row r="71">
      <c r="C71" s="22"/>
      <c r="D71" s="22"/>
    </row>
    <row r="72">
      <c r="C72" s="22"/>
      <c r="D72" s="22"/>
    </row>
    <row r="73">
      <c r="C73" s="22"/>
      <c r="D73" s="22"/>
    </row>
    <row r="74">
      <c r="C74" s="22"/>
      <c r="D74" s="22"/>
    </row>
    <row r="75">
      <c r="C75" s="22"/>
      <c r="D75" s="22"/>
    </row>
    <row r="76">
      <c r="C76" s="22"/>
      <c r="D76" s="22"/>
    </row>
    <row r="77">
      <c r="C77" s="22"/>
      <c r="D77" s="22"/>
    </row>
    <row r="78">
      <c r="C78" s="22"/>
      <c r="D78" s="22"/>
    </row>
    <row r="79">
      <c r="C79" s="22"/>
      <c r="D79" s="22"/>
    </row>
    <row r="80">
      <c r="C80" s="22"/>
      <c r="D80" s="22"/>
    </row>
    <row r="81">
      <c r="C81" s="22"/>
      <c r="D81" s="22"/>
    </row>
    <row r="82">
      <c r="C82" s="22"/>
      <c r="D82" s="22"/>
    </row>
    <row r="83">
      <c r="C83" s="22"/>
      <c r="D83" s="22"/>
    </row>
    <row r="84">
      <c r="C84" s="22"/>
      <c r="D84" s="22"/>
    </row>
    <row r="85">
      <c r="C85" s="22"/>
      <c r="D85" s="22"/>
    </row>
    <row r="86">
      <c r="C86" s="22"/>
      <c r="D86" s="22"/>
    </row>
    <row r="87">
      <c r="C87" s="22"/>
      <c r="D87" s="22"/>
    </row>
    <row r="88">
      <c r="C88" s="22"/>
      <c r="D88" s="22"/>
    </row>
    <row r="89">
      <c r="C89" s="22"/>
      <c r="D89" s="22"/>
    </row>
    <row r="90">
      <c r="C90" s="22"/>
      <c r="D90" s="22"/>
    </row>
    <row r="91">
      <c r="C91" s="22"/>
      <c r="D91" s="22"/>
    </row>
    <row r="92">
      <c r="C92" s="22"/>
      <c r="D92" s="22"/>
    </row>
    <row r="93">
      <c r="C93" s="22"/>
      <c r="D93" s="22"/>
    </row>
    <row r="94">
      <c r="C94" s="22"/>
      <c r="D94" s="22"/>
    </row>
    <row r="95">
      <c r="C95" s="22"/>
      <c r="D95" s="22"/>
    </row>
    <row r="96">
      <c r="C96" s="22"/>
      <c r="D96" s="22"/>
    </row>
    <row r="97">
      <c r="C97" s="22"/>
      <c r="D97" s="22"/>
    </row>
    <row r="98">
      <c r="C98" s="22"/>
      <c r="D98" s="22"/>
    </row>
    <row r="99">
      <c r="C99" s="22"/>
      <c r="D99" s="22"/>
    </row>
    <row r="100">
      <c r="C100" s="22"/>
      <c r="D100" s="22"/>
    </row>
    <row r="101">
      <c r="C101" s="22"/>
      <c r="D101" s="22"/>
    </row>
    <row r="102">
      <c r="C102" s="22"/>
      <c r="D102" s="22"/>
    </row>
    <row r="103">
      <c r="C103" s="22"/>
      <c r="D103" s="22"/>
    </row>
    <row r="104">
      <c r="C104" s="22"/>
      <c r="D104" s="22"/>
    </row>
    <row r="105">
      <c r="C105" s="22"/>
      <c r="D105" s="22"/>
    </row>
    <row r="106">
      <c r="C106" s="22"/>
      <c r="D106" s="22"/>
    </row>
    <row r="107">
      <c r="C107" s="22"/>
      <c r="D107" s="22"/>
    </row>
    <row r="108">
      <c r="C108" s="22"/>
      <c r="D108" s="22"/>
    </row>
    <row r="109">
      <c r="C109" s="22"/>
      <c r="D109" s="22"/>
    </row>
    <row r="110">
      <c r="C110" s="22"/>
      <c r="D110" s="22"/>
    </row>
    <row r="111">
      <c r="C111" s="22"/>
      <c r="D111" s="22"/>
    </row>
    <row r="112">
      <c r="C112" s="22"/>
      <c r="D112" s="22"/>
    </row>
    <row r="113">
      <c r="C113" s="22"/>
      <c r="D113" s="22"/>
    </row>
    <row r="114">
      <c r="C114" s="22"/>
      <c r="D114" s="22"/>
    </row>
    <row r="115">
      <c r="C115" s="22"/>
      <c r="D115" s="22"/>
    </row>
    <row r="116">
      <c r="C116" s="22"/>
      <c r="D116" s="22"/>
    </row>
    <row r="117">
      <c r="C117" s="22"/>
      <c r="D117" s="22"/>
    </row>
    <row r="118">
      <c r="C118" s="22"/>
      <c r="D118" s="22"/>
    </row>
    <row r="119">
      <c r="C119" s="22"/>
      <c r="D119" s="22"/>
    </row>
    <row r="120">
      <c r="C120" s="22"/>
      <c r="D120" s="22"/>
    </row>
    <row r="121">
      <c r="C121" s="22"/>
      <c r="D121" s="22"/>
    </row>
    <row r="122">
      <c r="C122" s="22"/>
      <c r="D122" s="22"/>
    </row>
    <row r="123">
      <c r="C123" s="22"/>
      <c r="D123" s="22"/>
    </row>
    <row r="124">
      <c r="C124" s="22"/>
      <c r="D124" s="22"/>
    </row>
    <row r="125">
      <c r="C125" s="22"/>
      <c r="D125" s="22"/>
    </row>
    <row r="126">
      <c r="C126" s="22"/>
      <c r="D126" s="22"/>
    </row>
    <row r="127">
      <c r="C127" s="22"/>
      <c r="D127" s="22"/>
    </row>
    <row r="128">
      <c r="C128" s="22"/>
      <c r="D128" s="22"/>
    </row>
    <row r="129">
      <c r="C129" s="22"/>
      <c r="D129" s="22"/>
    </row>
    <row r="130">
      <c r="C130" s="22"/>
      <c r="D130" s="22"/>
    </row>
    <row r="131">
      <c r="C131" s="22"/>
      <c r="D131" s="22"/>
    </row>
    <row r="132">
      <c r="C132" s="22"/>
      <c r="D132" s="22"/>
    </row>
    <row r="133">
      <c r="C133" s="22"/>
      <c r="D133" s="22"/>
    </row>
    <row r="134">
      <c r="C134" s="22"/>
      <c r="D134" s="22"/>
    </row>
    <row r="135">
      <c r="C135" s="22"/>
      <c r="D135" s="22"/>
    </row>
    <row r="136">
      <c r="C136" s="22"/>
      <c r="D136" s="22"/>
    </row>
    <row r="137">
      <c r="C137" s="22"/>
      <c r="D137" s="22"/>
    </row>
    <row r="138">
      <c r="C138" s="22"/>
      <c r="D138" s="22"/>
    </row>
    <row r="139">
      <c r="C139" s="22"/>
      <c r="D139" s="22"/>
    </row>
    <row r="140">
      <c r="C140" s="22"/>
      <c r="D140" s="22"/>
    </row>
    <row r="141">
      <c r="C141" s="22"/>
      <c r="D141" s="22"/>
    </row>
    <row r="142">
      <c r="C142" s="22"/>
      <c r="D142" s="22"/>
    </row>
    <row r="143">
      <c r="C143" s="22"/>
      <c r="D143" s="22"/>
    </row>
    <row r="144">
      <c r="C144" s="22"/>
      <c r="D144" s="22"/>
    </row>
    <row r="145">
      <c r="C145" s="22"/>
      <c r="D145" s="22"/>
    </row>
    <row r="146">
      <c r="C146" s="22"/>
      <c r="D146" s="22"/>
    </row>
    <row r="147">
      <c r="C147" s="22"/>
      <c r="D147" s="22"/>
    </row>
    <row r="148">
      <c r="C148" s="22"/>
      <c r="D148" s="22"/>
    </row>
    <row r="149">
      <c r="C149" s="22"/>
      <c r="D149" s="22"/>
    </row>
    <row r="150">
      <c r="C150" s="22"/>
      <c r="D150" s="22"/>
    </row>
    <row r="151">
      <c r="C151" s="22"/>
      <c r="D151" s="22"/>
    </row>
    <row r="152">
      <c r="C152" s="22"/>
      <c r="D152" s="22"/>
    </row>
    <row r="153">
      <c r="C153" s="22"/>
      <c r="D153" s="22"/>
    </row>
    <row r="154">
      <c r="C154" s="22"/>
      <c r="D154" s="22"/>
    </row>
    <row r="155">
      <c r="C155" s="22"/>
      <c r="D155" s="22"/>
    </row>
    <row r="156">
      <c r="C156" s="22"/>
      <c r="D156" s="22"/>
    </row>
    <row r="157">
      <c r="C157" s="22"/>
      <c r="D157" s="22"/>
    </row>
    <row r="158">
      <c r="C158" s="22"/>
      <c r="D158" s="22"/>
    </row>
    <row r="159">
      <c r="C159" s="22"/>
      <c r="D159" s="22"/>
    </row>
    <row r="160">
      <c r="C160" s="22"/>
      <c r="D160" s="22"/>
    </row>
    <row r="161">
      <c r="C161" s="22"/>
      <c r="D161" s="22"/>
    </row>
    <row r="162">
      <c r="C162" s="22"/>
      <c r="D162" s="22"/>
    </row>
    <row r="163">
      <c r="C163" s="22"/>
      <c r="D163" s="22"/>
    </row>
    <row r="164">
      <c r="C164" s="22"/>
      <c r="D164" s="22"/>
    </row>
    <row r="165">
      <c r="C165" s="22"/>
      <c r="D165" s="22"/>
    </row>
    <row r="166">
      <c r="C166" s="22"/>
      <c r="D166" s="22"/>
    </row>
    <row r="167">
      <c r="C167" s="22"/>
      <c r="D167" s="22"/>
    </row>
    <row r="168">
      <c r="C168" s="22"/>
      <c r="D168" s="22"/>
    </row>
    <row r="169">
      <c r="C169" s="22"/>
      <c r="D169" s="22"/>
    </row>
    <row r="170">
      <c r="C170" s="22"/>
      <c r="D170" s="22"/>
    </row>
    <row r="171">
      <c r="C171" s="22"/>
      <c r="D171" s="22"/>
    </row>
    <row r="172">
      <c r="C172" s="22"/>
      <c r="D172" s="22"/>
    </row>
    <row r="173">
      <c r="C173" s="22"/>
      <c r="D173" s="22"/>
    </row>
    <row r="174">
      <c r="C174" s="22"/>
      <c r="D174" s="22"/>
    </row>
    <row r="175">
      <c r="C175" s="22"/>
      <c r="D175" s="22"/>
    </row>
    <row r="176">
      <c r="C176" s="22"/>
      <c r="D176" s="22"/>
    </row>
    <row r="177">
      <c r="C177" s="22"/>
      <c r="D177" s="22"/>
    </row>
    <row r="178">
      <c r="C178" s="22"/>
      <c r="D178" s="22"/>
    </row>
    <row r="179">
      <c r="C179" s="22"/>
      <c r="D179" s="22"/>
    </row>
    <row r="180">
      <c r="C180" s="22"/>
      <c r="D180" s="22"/>
    </row>
    <row r="181">
      <c r="C181" s="22"/>
      <c r="D181" s="22"/>
    </row>
    <row r="182">
      <c r="C182" s="22"/>
      <c r="D182" s="22"/>
    </row>
    <row r="183">
      <c r="C183" s="22"/>
      <c r="D183" s="22"/>
    </row>
    <row r="184">
      <c r="C184" s="22"/>
      <c r="D184" s="22"/>
    </row>
    <row r="185">
      <c r="C185" s="22"/>
      <c r="D185" s="22"/>
    </row>
    <row r="186">
      <c r="C186" s="22"/>
      <c r="D186" s="22"/>
    </row>
    <row r="187">
      <c r="C187" s="22"/>
      <c r="D187" s="22"/>
    </row>
    <row r="188">
      <c r="C188" s="22"/>
      <c r="D188" s="22"/>
    </row>
    <row r="189">
      <c r="C189" s="22"/>
      <c r="D189" s="22"/>
    </row>
    <row r="190">
      <c r="C190" s="22"/>
      <c r="D190" s="22"/>
    </row>
    <row r="191">
      <c r="C191" s="22"/>
      <c r="D191" s="22"/>
    </row>
    <row r="192">
      <c r="C192" s="22"/>
      <c r="D192" s="22"/>
    </row>
    <row r="193">
      <c r="C193" s="22"/>
      <c r="D193" s="22"/>
    </row>
    <row r="194">
      <c r="C194" s="22"/>
      <c r="D194" s="22"/>
    </row>
    <row r="195">
      <c r="C195" s="22"/>
      <c r="D195" s="22"/>
    </row>
    <row r="196">
      <c r="C196" s="22"/>
      <c r="D196" s="22"/>
    </row>
    <row r="197">
      <c r="C197" s="22"/>
      <c r="D197" s="22"/>
    </row>
    <row r="198">
      <c r="C198" s="22"/>
      <c r="D198" s="22"/>
    </row>
    <row r="199">
      <c r="C199" s="22"/>
      <c r="D199" s="22"/>
    </row>
    <row r="200">
      <c r="C200" s="22"/>
      <c r="D200" s="22"/>
    </row>
    <row r="201">
      <c r="C201" s="22"/>
      <c r="D201" s="22"/>
    </row>
    <row r="202">
      <c r="C202" s="22"/>
      <c r="D202" s="22"/>
    </row>
    <row r="203">
      <c r="C203" s="22"/>
      <c r="D203" s="22"/>
    </row>
    <row r="204">
      <c r="C204" s="22"/>
      <c r="D204" s="22"/>
    </row>
    <row r="205">
      <c r="C205" s="22"/>
      <c r="D205" s="22"/>
    </row>
    <row r="206">
      <c r="C206" s="22"/>
      <c r="D206" s="22"/>
    </row>
    <row r="207">
      <c r="C207" s="22"/>
      <c r="D207" s="22"/>
    </row>
    <row r="208">
      <c r="C208" s="22"/>
      <c r="D208" s="22"/>
    </row>
    <row r="209">
      <c r="C209" s="22"/>
      <c r="D209" s="22"/>
    </row>
    <row r="210">
      <c r="C210" s="22"/>
      <c r="D210" s="22"/>
    </row>
    <row r="211">
      <c r="C211" s="22"/>
      <c r="D211" s="22"/>
    </row>
    <row r="212">
      <c r="C212" s="22"/>
      <c r="D212" s="22"/>
    </row>
    <row r="213">
      <c r="C213" s="22"/>
      <c r="D213" s="22"/>
    </row>
    <row r="214">
      <c r="C214" s="22"/>
      <c r="D214" s="22"/>
    </row>
    <row r="215">
      <c r="C215" s="22"/>
      <c r="D215" s="22"/>
    </row>
    <row r="216">
      <c r="C216" s="22"/>
      <c r="D216" s="22"/>
    </row>
    <row r="217">
      <c r="C217" s="22"/>
      <c r="D217" s="22"/>
    </row>
    <row r="218">
      <c r="C218" s="22"/>
      <c r="D218" s="22"/>
    </row>
    <row r="219">
      <c r="C219" s="22"/>
      <c r="D219" s="22"/>
    </row>
    <row r="220">
      <c r="C220" s="22"/>
      <c r="D220" s="22"/>
    </row>
    <row r="221">
      <c r="C221" s="22"/>
      <c r="D221" s="22"/>
    </row>
    <row r="222">
      <c r="C222" s="22"/>
      <c r="D222" s="22"/>
    </row>
    <row r="223">
      <c r="C223" s="22"/>
      <c r="D223" s="22"/>
    </row>
    <row r="224">
      <c r="C224" s="22"/>
      <c r="D224" s="22"/>
    </row>
    <row r="225">
      <c r="C225" s="22"/>
      <c r="D225" s="22"/>
    </row>
    <row r="226">
      <c r="C226" s="22"/>
      <c r="D226" s="22"/>
    </row>
    <row r="227">
      <c r="C227" s="22"/>
      <c r="D227" s="22"/>
    </row>
    <row r="228">
      <c r="C228" s="22"/>
      <c r="D228" s="22"/>
    </row>
    <row r="229">
      <c r="C229" s="22"/>
      <c r="D229" s="22"/>
    </row>
    <row r="230">
      <c r="C230" s="22"/>
      <c r="D230" s="22"/>
    </row>
    <row r="231">
      <c r="C231" s="22"/>
      <c r="D231" s="22"/>
    </row>
    <row r="232">
      <c r="C232" s="22"/>
      <c r="D232" s="22"/>
    </row>
    <row r="233">
      <c r="C233" s="22"/>
      <c r="D233" s="22"/>
    </row>
    <row r="234">
      <c r="C234" s="22"/>
      <c r="D234" s="22"/>
    </row>
    <row r="235">
      <c r="C235" s="22"/>
      <c r="D235" s="22"/>
    </row>
    <row r="236">
      <c r="C236" s="22"/>
      <c r="D236" s="22"/>
    </row>
    <row r="237">
      <c r="C237" s="22"/>
      <c r="D237" s="22"/>
    </row>
    <row r="238">
      <c r="C238" s="22"/>
      <c r="D238" s="22"/>
    </row>
    <row r="239">
      <c r="C239" s="22"/>
      <c r="D239" s="22"/>
    </row>
    <row r="240">
      <c r="C240" s="22"/>
      <c r="D240" s="22"/>
    </row>
    <row r="241">
      <c r="C241" s="22"/>
      <c r="D241" s="22"/>
    </row>
    <row r="242">
      <c r="C242" s="22"/>
      <c r="D242" s="22"/>
    </row>
    <row r="243">
      <c r="C243" s="22"/>
      <c r="D243" s="22"/>
    </row>
    <row r="244">
      <c r="C244" s="22"/>
      <c r="D244" s="22"/>
    </row>
    <row r="245">
      <c r="C245" s="22"/>
      <c r="D245" s="22"/>
    </row>
    <row r="246">
      <c r="C246" s="22"/>
      <c r="D246" s="22"/>
    </row>
    <row r="247">
      <c r="C247" s="22"/>
      <c r="D247" s="22"/>
    </row>
    <row r="248">
      <c r="C248" s="22"/>
      <c r="D248" s="22"/>
    </row>
    <row r="249">
      <c r="C249" s="22"/>
      <c r="D249" s="22"/>
    </row>
    <row r="250">
      <c r="C250" s="22"/>
      <c r="D250" s="22"/>
    </row>
    <row r="251">
      <c r="C251" s="22"/>
      <c r="D251" s="22"/>
    </row>
    <row r="252">
      <c r="C252" s="22"/>
      <c r="D252" s="22"/>
    </row>
    <row r="253">
      <c r="C253" s="22"/>
      <c r="D253" s="22"/>
    </row>
    <row r="254">
      <c r="C254" s="22"/>
      <c r="D254" s="22"/>
    </row>
    <row r="255">
      <c r="C255" s="22"/>
      <c r="D255" s="22"/>
    </row>
    <row r="256">
      <c r="C256" s="22"/>
      <c r="D256" s="22"/>
    </row>
    <row r="257">
      <c r="C257" s="22"/>
      <c r="D257" s="22"/>
    </row>
    <row r="258">
      <c r="C258" s="22"/>
      <c r="D258" s="22"/>
    </row>
    <row r="259">
      <c r="C259" s="22"/>
      <c r="D259" s="22"/>
    </row>
    <row r="260">
      <c r="C260" s="22"/>
      <c r="D260" s="22"/>
    </row>
    <row r="261">
      <c r="C261" s="22"/>
      <c r="D261" s="22"/>
    </row>
    <row r="262">
      <c r="C262" s="22"/>
      <c r="D262" s="22"/>
    </row>
    <row r="263">
      <c r="C263" s="22"/>
      <c r="D263" s="22"/>
    </row>
    <row r="264">
      <c r="C264" s="22"/>
      <c r="D264" s="22"/>
    </row>
    <row r="265">
      <c r="C265" s="22"/>
      <c r="D265" s="22"/>
    </row>
    <row r="266">
      <c r="C266" s="22"/>
      <c r="D266" s="22"/>
    </row>
    <row r="267">
      <c r="C267" s="22"/>
      <c r="D267" s="22"/>
    </row>
    <row r="268">
      <c r="C268" s="22"/>
      <c r="D268" s="22"/>
    </row>
    <row r="269">
      <c r="C269" s="22"/>
      <c r="D269" s="22"/>
    </row>
    <row r="270">
      <c r="C270" s="22"/>
      <c r="D270" s="22"/>
    </row>
    <row r="271">
      <c r="C271" s="22"/>
      <c r="D271" s="22"/>
    </row>
    <row r="272">
      <c r="C272" s="22"/>
      <c r="D272" s="22"/>
    </row>
    <row r="273">
      <c r="C273" s="22"/>
      <c r="D273" s="22"/>
    </row>
    <row r="274">
      <c r="C274" s="22"/>
      <c r="D274" s="22"/>
    </row>
    <row r="275">
      <c r="C275" s="22"/>
      <c r="D275" s="22"/>
    </row>
    <row r="276">
      <c r="C276" s="22"/>
      <c r="D276" s="22"/>
    </row>
    <row r="277">
      <c r="C277" s="22"/>
      <c r="D277" s="22"/>
    </row>
    <row r="278">
      <c r="C278" s="22"/>
      <c r="D278" s="22"/>
    </row>
    <row r="279">
      <c r="C279" s="22"/>
      <c r="D279" s="22"/>
    </row>
    <row r="280">
      <c r="C280" s="22"/>
      <c r="D280" s="22"/>
    </row>
    <row r="281">
      <c r="C281" s="22"/>
      <c r="D281" s="22"/>
    </row>
    <row r="282">
      <c r="C282" s="22"/>
      <c r="D282" s="22"/>
    </row>
    <row r="283">
      <c r="C283" s="22"/>
      <c r="D283" s="22"/>
    </row>
    <row r="284">
      <c r="C284" s="22"/>
      <c r="D284" s="22"/>
    </row>
    <row r="285">
      <c r="C285" s="22"/>
      <c r="D285" s="22"/>
    </row>
    <row r="286">
      <c r="C286" s="22"/>
      <c r="D286" s="22"/>
    </row>
    <row r="287">
      <c r="C287" s="22"/>
      <c r="D287" s="22"/>
    </row>
    <row r="288">
      <c r="C288" s="22"/>
      <c r="D288" s="22"/>
    </row>
    <row r="289">
      <c r="C289" s="22"/>
      <c r="D289" s="22"/>
    </row>
    <row r="290">
      <c r="C290" s="22"/>
      <c r="D290" s="22"/>
    </row>
    <row r="291">
      <c r="C291" s="22"/>
      <c r="D291" s="22"/>
    </row>
    <row r="292">
      <c r="C292" s="22"/>
      <c r="D292" s="22"/>
    </row>
    <row r="293">
      <c r="C293" s="22"/>
      <c r="D293" s="22"/>
    </row>
    <row r="294">
      <c r="C294" s="22"/>
      <c r="D294" s="22"/>
    </row>
    <row r="295">
      <c r="C295" s="22"/>
      <c r="D295" s="22"/>
    </row>
    <row r="296">
      <c r="C296" s="22"/>
      <c r="D296" s="22"/>
    </row>
    <row r="297">
      <c r="C297" s="22"/>
      <c r="D297" s="22"/>
    </row>
    <row r="298">
      <c r="C298" s="22"/>
      <c r="D298" s="22"/>
    </row>
    <row r="299">
      <c r="C299" s="22"/>
      <c r="D299" s="22"/>
    </row>
    <row r="300">
      <c r="C300" s="22"/>
      <c r="D300" s="22"/>
    </row>
    <row r="301">
      <c r="C301" s="22"/>
      <c r="D301" s="22"/>
    </row>
    <row r="302">
      <c r="C302" s="22"/>
      <c r="D302" s="22"/>
    </row>
    <row r="303">
      <c r="C303" s="22"/>
      <c r="D303" s="22"/>
    </row>
    <row r="304">
      <c r="C304" s="22"/>
      <c r="D304" s="22"/>
    </row>
    <row r="305">
      <c r="C305" s="22"/>
      <c r="D305" s="22"/>
    </row>
    <row r="306">
      <c r="C306" s="22"/>
      <c r="D306" s="22"/>
    </row>
    <row r="307">
      <c r="C307" s="22"/>
      <c r="D307" s="22"/>
    </row>
    <row r="308">
      <c r="C308" s="22"/>
      <c r="D308" s="22"/>
    </row>
    <row r="309">
      <c r="C309" s="22"/>
      <c r="D309" s="22"/>
    </row>
    <row r="310">
      <c r="C310" s="22"/>
      <c r="D310" s="22"/>
    </row>
    <row r="311">
      <c r="C311" s="22"/>
      <c r="D311" s="22"/>
    </row>
    <row r="312">
      <c r="C312" s="22"/>
      <c r="D312" s="22"/>
    </row>
    <row r="313">
      <c r="C313" s="22"/>
      <c r="D313" s="22"/>
    </row>
    <row r="314">
      <c r="C314" s="22"/>
      <c r="D314" s="22"/>
    </row>
    <row r="315">
      <c r="C315" s="22"/>
      <c r="D315" s="22"/>
    </row>
    <row r="316">
      <c r="C316" s="22"/>
      <c r="D316" s="22"/>
    </row>
    <row r="317">
      <c r="C317" s="22"/>
      <c r="D317" s="22"/>
    </row>
    <row r="318">
      <c r="C318" s="22"/>
      <c r="D318" s="22"/>
    </row>
    <row r="319">
      <c r="C319" s="22"/>
      <c r="D319" s="22"/>
    </row>
    <row r="320">
      <c r="C320" s="22"/>
      <c r="D320" s="22"/>
    </row>
    <row r="321">
      <c r="C321" s="22"/>
      <c r="D321" s="22"/>
    </row>
    <row r="322">
      <c r="C322" s="22"/>
      <c r="D322" s="22"/>
    </row>
    <row r="323">
      <c r="C323" s="22"/>
      <c r="D323" s="22"/>
    </row>
    <row r="324">
      <c r="C324" s="22"/>
      <c r="D324" s="22"/>
    </row>
    <row r="325">
      <c r="C325" s="22"/>
      <c r="D325" s="22"/>
    </row>
    <row r="326">
      <c r="C326" s="22"/>
      <c r="D326" s="22"/>
    </row>
    <row r="327">
      <c r="C327" s="22"/>
      <c r="D327" s="22"/>
    </row>
    <row r="328">
      <c r="C328" s="22"/>
      <c r="D328" s="22"/>
    </row>
    <row r="329">
      <c r="C329" s="22"/>
      <c r="D329" s="22"/>
    </row>
    <row r="330">
      <c r="C330" s="22"/>
      <c r="D330" s="22"/>
    </row>
    <row r="331">
      <c r="C331" s="22"/>
      <c r="D331" s="22"/>
    </row>
    <row r="332">
      <c r="C332" s="22"/>
      <c r="D332" s="22"/>
    </row>
    <row r="333">
      <c r="C333" s="22"/>
      <c r="D333" s="22"/>
    </row>
    <row r="334">
      <c r="C334" s="22"/>
      <c r="D334" s="22"/>
    </row>
    <row r="335">
      <c r="C335" s="22"/>
      <c r="D335" s="22"/>
    </row>
    <row r="336">
      <c r="C336" s="22"/>
      <c r="D336" s="22"/>
    </row>
    <row r="337">
      <c r="C337" s="22"/>
      <c r="D337" s="22"/>
    </row>
    <row r="338">
      <c r="C338" s="22"/>
      <c r="D338" s="22"/>
    </row>
    <row r="339">
      <c r="C339" s="22"/>
      <c r="D339" s="22"/>
    </row>
    <row r="340">
      <c r="C340" s="22"/>
      <c r="D340" s="22"/>
    </row>
    <row r="341">
      <c r="C341" s="22"/>
      <c r="D341" s="22"/>
    </row>
    <row r="342">
      <c r="C342" s="22"/>
      <c r="D342" s="22"/>
    </row>
    <row r="343">
      <c r="C343" s="22"/>
      <c r="D343" s="22"/>
    </row>
    <row r="344">
      <c r="C344" s="22"/>
      <c r="D344" s="22"/>
    </row>
    <row r="345">
      <c r="C345" s="22"/>
      <c r="D345" s="22"/>
    </row>
    <row r="346">
      <c r="C346" s="22"/>
      <c r="D346" s="22"/>
    </row>
    <row r="347">
      <c r="C347" s="22"/>
      <c r="D347" s="22"/>
    </row>
    <row r="348">
      <c r="C348" s="22"/>
      <c r="D348" s="22"/>
    </row>
    <row r="349">
      <c r="C349" s="22"/>
      <c r="D349" s="22"/>
    </row>
    <row r="350">
      <c r="C350" s="22"/>
      <c r="D350" s="22"/>
    </row>
    <row r="351">
      <c r="C351" s="22"/>
      <c r="D351" s="22"/>
    </row>
    <row r="352">
      <c r="C352" s="22"/>
      <c r="D352" s="22"/>
    </row>
    <row r="353">
      <c r="C353" s="22"/>
      <c r="D353" s="22"/>
    </row>
    <row r="354">
      <c r="C354" s="22"/>
      <c r="D354" s="22"/>
    </row>
    <row r="355">
      <c r="C355" s="22"/>
      <c r="D355" s="22"/>
    </row>
    <row r="356">
      <c r="C356" s="22"/>
      <c r="D356" s="22"/>
    </row>
    <row r="357">
      <c r="C357" s="22"/>
      <c r="D357" s="22"/>
    </row>
    <row r="358">
      <c r="C358" s="22"/>
      <c r="D358" s="22"/>
    </row>
    <row r="359">
      <c r="C359" s="22"/>
      <c r="D359" s="22"/>
    </row>
    <row r="360">
      <c r="C360" s="22"/>
      <c r="D360" s="22"/>
    </row>
    <row r="361">
      <c r="C361" s="22"/>
      <c r="D361" s="22"/>
    </row>
    <row r="362">
      <c r="C362" s="22"/>
      <c r="D362" s="22"/>
    </row>
    <row r="363">
      <c r="C363" s="22"/>
      <c r="D363" s="22"/>
    </row>
    <row r="364">
      <c r="C364" s="22"/>
      <c r="D364" s="22"/>
    </row>
    <row r="365">
      <c r="C365" s="22"/>
      <c r="D365" s="22"/>
    </row>
    <row r="366">
      <c r="C366" s="22"/>
      <c r="D366" s="22"/>
    </row>
    <row r="367">
      <c r="C367" s="22"/>
      <c r="D367" s="22"/>
    </row>
    <row r="368">
      <c r="C368" s="22"/>
      <c r="D368" s="22"/>
    </row>
    <row r="369">
      <c r="C369" s="22"/>
      <c r="D369" s="22"/>
    </row>
    <row r="370">
      <c r="C370" s="22"/>
      <c r="D370" s="22"/>
    </row>
    <row r="371">
      <c r="C371" s="22"/>
      <c r="D371" s="22"/>
    </row>
    <row r="372">
      <c r="C372" s="22"/>
      <c r="D372" s="22"/>
    </row>
    <row r="373">
      <c r="C373" s="22"/>
      <c r="D373" s="22"/>
    </row>
    <row r="374">
      <c r="C374" s="22"/>
      <c r="D374" s="22"/>
    </row>
    <row r="375">
      <c r="C375" s="22"/>
      <c r="D375" s="22"/>
    </row>
    <row r="376">
      <c r="C376" s="22"/>
      <c r="D376" s="22"/>
    </row>
    <row r="377">
      <c r="C377" s="22"/>
      <c r="D377" s="22"/>
    </row>
    <row r="378">
      <c r="C378" s="22"/>
      <c r="D378" s="22"/>
    </row>
    <row r="379">
      <c r="C379" s="22"/>
      <c r="D379" s="22"/>
    </row>
    <row r="380">
      <c r="C380" s="22"/>
      <c r="D380" s="22"/>
    </row>
    <row r="381">
      <c r="C381" s="22"/>
      <c r="D381" s="22"/>
    </row>
    <row r="382">
      <c r="C382" s="22"/>
      <c r="D382" s="22"/>
    </row>
    <row r="383">
      <c r="C383" s="22"/>
      <c r="D383" s="22"/>
    </row>
    <row r="384">
      <c r="C384" s="22"/>
      <c r="D384" s="22"/>
    </row>
    <row r="385">
      <c r="C385" s="22"/>
      <c r="D385" s="22"/>
    </row>
    <row r="386">
      <c r="C386" s="22"/>
      <c r="D386" s="22"/>
    </row>
    <row r="387">
      <c r="C387" s="22"/>
      <c r="D387" s="22"/>
    </row>
    <row r="388">
      <c r="C388" s="22"/>
      <c r="D388" s="22"/>
    </row>
    <row r="389">
      <c r="C389" s="22"/>
      <c r="D389" s="22"/>
    </row>
    <row r="390">
      <c r="C390" s="22"/>
      <c r="D390" s="22"/>
    </row>
    <row r="391">
      <c r="C391" s="22"/>
      <c r="D391" s="22"/>
    </row>
    <row r="392">
      <c r="C392" s="22"/>
      <c r="D392" s="22"/>
    </row>
    <row r="393">
      <c r="C393" s="22"/>
      <c r="D393" s="22"/>
    </row>
    <row r="394">
      <c r="C394" s="22"/>
      <c r="D394" s="22"/>
    </row>
    <row r="395">
      <c r="C395" s="22"/>
      <c r="D395" s="22"/>
    </row>
    <row r="396">
      <c r="C396" s="22"/>
      <c r="D396" s="22"/>
    </row>
    <row r="397">
      <c r="C397" s="22"/>
      <c r="D397" s="22"/>
    </row>
    <row r="398">
      <c r="C398" s="22"/>
      <c r="D398" s="22"/>
    </row>
    <row r="399">
      <c r="C399" s="22"/>
      <c r="D399" s="22"/>
    </row>
    <row r="400">
      <c r="C400" s="22"/>
      <c r="D400" s="22"/>
    </row>
    <row r="401">
      <c r="C401" s="22"/>
      <c r="D401" s="22"/>
    </row>
    <row r="402">
      <c r="C402" s="22"/>
      <c r="D402" s="22"/>
    </row>
    <row r="403">
      <c r="C403" s="22"/>
      <c r="D403" s="22"/>
    </row>
    <row r="404">
      <c r="C404" s="22"/>
      <c r="D404" s="22"/>
    </row>
    <row r="405">
      <c r="C405" s="22"/>
      <c r="D405" s="22"/>
    </row>
    <row r="406">
      <c r="C406" s="22"/>
      <c r="D406" s="22"/>
    </row>
    <row r="407">
      <c r="C407" s="22"/>
      <c r="D407" s="22"/>
    </row>
    <row r="408">
      <c r="C408" s="22"/>
      <c r="D408" s="22"/>
    </row>
    <row r="409">
      <c r="C409" s="22"/>
      <c r="D409" s="22"/>
    </row>
    <row r="410">
      <c r="C410" s="22"/>
      <c r="D410" s="22"/>
    </row>
    <row r="411">
      <c r="C411" s="22"/>
      <c r="D411" s="22"/>
    </row>
    <row r="412">
      <c r="C412" s="22"/>
      <c r="D412" s="22"/>
    </row>
    <row r="413">
      <c r="C413" s="22"/>
      <c r="D413" s="22"/>
    </row>
    <row r="414">
      <c r="C414" s="22"/>
      <c r="D414" s="22"/>
    </row>
    <row r="415">
      <c r="C415" s="22"/>
      <c r="D415" s="22"/>
    </row>
    <row r="416">
      <c r="C416" s="22"/>
      <c r="D416" s="22"/>
    </row>
    <row r="417">
      <c r="C417" s="22"/>
      <c r="D417" s="22"/>
    </row>
    <row r="418">
      <c r="C418" s="22"/>
      <c r="D418" s="22"/>
    </row>
    <row r="419">
      <c r="C419" s="22"/>
      <c r="D419" s="22"/>
    </row>
    <row r="420">
      <c r="C420" s="22"/>
      <c r="D420" s="22"/>
    </row>
    <row r="421">
      <c r="C421" s="22"/>
      <c r="D421" s="22"/>
    </row>
    <row r="422">
      <c r="C422" s="22"/>
      <c r="D422" s="22"/>
    </row>
    <row r="423">
      <c r="C423" s="22"/>
      <c r="D423" s="22"/>
    </row>
    <row r="424">
      <c r="C424" s="22"/>
      <c r="D424" s="22"/>
    </row>
    <row r="425">
      <c r="C425" s="22"/>
      <c r="D425" s="22"/>
    </row>
    <row r="426">
      <c r="C426" s="22"/>
      <c r="D426" s="22"/>
    </row>
    <row r="427">
      <c r="C427" s="22"/>
      <c r="D427" s="22"/>
    </row>
    <row r="428">
      <c r="C428" s="22"/>
      <c r="D428" s="22"/>
    </row>
    <row r="429">
      <c r="C429" s="22"/>
      <c r="D429" s="22"/>
    </row>
    <row r="430">
      <c r="C430" s="22"/>
      <c r="D430" s="22"/>
    </row>
    <row r="431">
      <c r="C431" s="22"/>
      <c r="D431" s="22"/>
    </row>
    <row r="432">
      <c r="C432" s="22"/>
      <c r="D432" s="22"/>
    </row>
    <row r="433">
      <c r="C433" s="22"/>
      <c r="D433" s="22"/>
    </row>
    <row r="434">
      <c r="C434" s="22"/>
      <c r="D434" s="22"/>
    </row>
    <row r="435">
      <c r="C435" s="22"/>
      <c r="D435" s="22"/>
    </row>
    <row r="436">
      <c r="C436" s="22"/>
      <c r="D436" s="22"/>
    </row>
    <row r="437">
      <c r="C437" s="22"/>
      <c r="D437" s="22"/>
    </row>
    <row r="438">
      <c r="C438" s="22"/>
      <c r="D438" s="22"/>
    </row>
    <row r="439">
      <c r="C439" s="22"/>
      <c r="D439" s="22"/>
    </row>
    <row r="440">
      <c r="C440" s="22"/>
      <c r="D440" s="22"/>
    </row>
    <row r="441">
      <c r="C441" s="22"/>
      <c r="D441" s="22"/>
    </row>
    <row r="442">
      <c r="C442" s="22"/>
      <c r="D442" s="22"/>
    </row>
    <row r="443">
      <c r="C443" s="22"/>
      <c r="D443" s="22"/>
    </row>
    <row r="444">
      <c r="C444" s="22"/>
      <c r="D444" s="22"/>
    </row>
    <row r="445">
      <c r="C445" s="22"/>
      <c r="D445" s="22"/>
    </row>
    <row r="446">
      <c r="C446" s="22"/>
      <c r="D446" s="22"/>
    </row>
    <row r="447">
      <c r="C447" s="22"/>
      <c r="D447" s="22"/>
    </row>
    <row r="448">
      <c r="C448" s="22"/>
      <c r="D448" s="22"/>
    </row>
    <row r="449">
      <c r="C449" s="22"/>
      <c r="D449" s="22"/>
    </row>
    <row r="450">
      <c r="C450" s="22"/>
      <c r="D450" s="22"/>
    </row>
    <row r="451">
      <c r="C451" s="22"/>
      <c r="D451" s="22"/>
    </row>
    <row r="452">
      <c r="C452" s="22"/>
      <c r="D452" s="22"/>
    </row>
    <row r="453">
      <c r="C453" s="22"/>
      <c r="D453" s="22"/>
    </row>
    <row r="454">
      <c r="C454" s="22"/>
      <c r="D454" s="22"/>
    </row>
    <row r="455">
      <c r="C455" s="22"/>
      <c r="D455" s="22"/>
    </row>
    <row r="456">
      <c r="C456" s="22"/>
      <c r="D456" s="22"/>
    </row>
    <row r="457">
      <c r="C457" s="22"/>
      <c r="D457" s="22"/>
    </row>
    <row r="458">
      <c r="C458" s="22"/>
      <c r="D458" s="22"/>
    </row>
    <row r="459">
      <c r="C459" s="22"/>
      <c r="D459" s="22"/>
    </row>
    <row r="460">
      <c r="C460" s="22"/>
      <c r="D460" s="22"/>
    </row>
    <row r="461">
      <c r="C461" s="22"/>
      <c r="D461" s="22"/>
    </row>
    <row r="462">
      <c r="C462" s="22"/>
      <c r="D462" s="22"/>
    </row>
    <row r="463">
      <c r="C463" s="22"/>
      <c r="D463" s="22"/>
    </row>
    <row r="464">
      <c r="C464" s="22"/>
      <c r="D464" s="22"/>
    </row>
    <row r="465">
      <c r="C465" s="22"/>
      <c r="D465" s="22"/>
    </row>
    <row r="466">
      <c r="C466" s="22"/>
      <c r="D466" s="22"/>
    </row>
    <row r="467">
      <c r="C467" s="22"/>
      <c r="D467" s="22"/>
    </row>
    <row r="468">
      <c r="C468" s="22"/>
      <c r="D468" s="22"/>
    </row>
    <row r="469">
      <c r="C469" s="22"/>
      <c r="D469" s="22"/>
    </row>
    <row r="470">
      <c r="C470" s="22"/>
      <c r="D470" s="22"/>
    </row>
    <row r="471">
      <c r="C471" s="22"/>
      <c r="D471" s="22"/>
    </row>
    <row r="472">
      <c r="C472" s="22"/>
      <c r="D472" s="22"/>
    </row>
    <row r="473">
      <c r="C473" s="22"/>
      <c r="D473" s="22"/>
    </row>
    <row r="474">
      <c r="C474" s="22"/>
      <c r="D474" s="22"/>
    </row>
    <row r="475">
      <c r="C475" s="22"/>
      <c r="D475" s="22"/>
    </row>
    <row r="476">
      <c r="C476" s="22"/>
      <c r="D476" s="22"/>
    </row>
    <row r="477">
      <c r="C477" s="22"/>
      <c r="D477" s="22"/>
    </row>
    <row r="478">
      <c r="C478" s="22"/>
      <c r="D478" s="22"/>
    </row>
    <row r="479">
      <c r="C479" s="22"/>
      <c r="D479" s="22"/>
    </row>
    <row r="480">
      <c r="C480" s="22"/>
      <c r="D480" s="22"/>
    </row>
    <row r="481">
      <c r="C481" s="22"/>
      <c r="D481" s="22"/>
    </row>
    <row r="482">
      <c r="C482" s="22"/>
      <c r="D482" s="22"/>
    </row>
    <row r="483">
      <c r="C483" s="22"/>
      <c r="D483" s="22"/>
    </row>
    <row r="484">
      <c r="C484" s="22"/>
      <c r="D484" s="22"/>
    </row>
    <row r="485">
      <c r="C485" s="22"/>
      <c r="D485" s="22"/>
    </row>
    <row r="486">
      <c r="C486" s="22"/>
      <c r="D486" s="22"/>
    </row>
    <row r="487">
      <c r="C487" s="22"/>
      <c r="D487" s="22"/>
    </row>
    <row r="488">
      <c r="C488" s="22"/>
      <c r="D488" s="22"/>
    </row>
    <row r="489">
      <c r="C489" s="22"/>
      <c r="D489" s="22"/>
    </row>
    <row r="490">
      <c r="C490" s="22"/>
      <c r="D490" s="22"/>
    </row>
    <row r="491">
      <c r="C491" s="22"/>
      <c r="D491" s="22"/>
    </row>
    <row r="492">
      <c r="C492" s="22"/>
      <c r="D492" s="22"/>
    </row>
    <row r="493">
      <c r="C493" s="22"/>
      <c r="D493" s="22"/>
    </row>
    <row r="494">
      <c r="C494" s="22"/>
      <c r="D494" s="22"/>
    </row>
    <row r="495">
      <c r="C495" s="22"/>
      <c r="D495" s="22"/>
    </row>
    <row r="496">
      <c r="C496" s="22"/>
      <c r="D496" s="22"/>
    </row>
    <row r="497">
      <c r="C497" s="22"/>
      <c r="D497" s="22"/>
    </row>
    <row r="498">
      <c r="C498" s="22"/>
      <c r="D498" s="22"/>
    </row>
    <row r="499">
      <c r="C499" s="22"/>
      <c r="D499" s="22"/>
    </row>
    <row r="500">
      <c r="C500" s="22"/>
      <c r="D500" s="22"/>
    </row>
    <row r="501">
      <c r="C501" s="22"/>
      <c r="D501" s="22"/>
    </row>
    <row r="502">
      <c r="C502" s="22"/>
      <c r="D502" s="22"/>
    </row>
    <row r="503">
      <c r="C503" s="22"/>
      <c r="D503" s="22"/>
    </row>
    <row r="504">
      <c r="C504" s="22"/>
      <c r="D504" s="22"/>
    </row>
    <row r="505">
      <c r="C505" s="22"/>
      <c r="D505" s="22"/>
    </row>
    <row r="506">
      <c r="C506" s="22"/>
      <c r="D506" s="22"/>
    </row>
    <row r="507">
      <c r="C507" s="22"/>
      <c r="D507" s="22"/>
    </row>
    <row r="508">
      <c r="C508" s="22"/>
      <c r="D508" s="22"/>
    </row>
    <row r="509">
      <c r="C509" s="22"/>
      <c r="D509" s="22"/>
    </row>
    <row r="510">
      <c r="C510" s="22"/>
      <c r="D510" s="22"/>
    </row>
    <row r="511">
      <c r="C511" s="22"/>
      <c r="D511" s="22"/>
    </row>
    <row r="512">
      <c r="C512" s="22"/>
      <c r="D512" s="22"/>
    </row>
    <row r="513">
      <c r="C513" s="22"/>
      <c r="D513" s="22"/>
    </row>
    <row r="514">
      <c r="C514" s="22"/>
      <c r="D514" s="22"/>
    </row>
    <row r="515">
      <c r="C515" s="22"/>
      <c r="D515" s="22"/>
    </row>
    <row r="516">
      <c r="C516" s="22"/>
      <c r="D516" s="22"/>
    </row>
    <row r="517">
      <c r="C517" s="22"/>
      <c r="D517" s="22"/>
    </row>
    <row r="518">
      <c r="C518" s="22"/>
      <c r="D518" s="22"/>
    </row>
    <row r="519">
      <c r="C519" s="22"/>
      <c r="D519" s="22"/>
    </row>
    <row r="520">
      <c r="C520" s="22"/>
      <c r="D520" s="22"/>
    </row>
    <row r="521">
      <c r="C521" s="22"/>
      <c r="D521" s="22"/>
    </row>
    <row r="522">
      <c r="C522" s="22"/>
      <c r="D522" s="22"/>
    </row>
    <row r="523">
      <c r="C523" s="22"/>
      <c r="D523" s="22"/>
    </row>
    <row r="524">
      <c r="C524" s="22"/>
      <c r="D524" s="22"/>
    </row>
    <row r="525">
      <c r="C525" s="22"/>
      <c r="D525" s="22"/>
    </row>
    <row r="526">
      <c r="C526" s="22"/>
      <c r="D526" s="22"/>
    </row>
    <row r="527">
      <c r="C527" s="22"/>
      <c r="D527" s="22"/>
    </row>
    <row r="528">
      <c r="C528" s="22"/>
      <c r="D528" s="22"/>
    </row>
    <row r="529">
      <c r="C529" s="22"/>
      <c r="D529" s="22"/>
    </row>
    <row r="530">
      <c r="C530" s="22"/>
      <c r="D530" s="22"/>
    </row>
    <row r="531">
      <c r="C531" s="22"/>
      <c r="D531" s="22"/>
    </row>
    <row r="532">
      <c r="C532" s="22"/>
      <c r="D532" s="22"/>
    </row>
    <row r="533">
      <c r="C533" s="22"/>
      <c r="D533" s="22"/>
    </row>
    <row r="534">
      <c r="C534" s="22"/>
      <c r="D534" s="22"/>
    </row>
    <row r="535">
      <c r="C535" s="22"/>
      <c r="D535" s="22"/>
    </row>
    <row r="536">
      <c r="C536" s="22"/>
      <c r="D536" s="22"/>
    </row>
    <row r="537">
      <c r="C537" s="22"/>
      <c r="D537" s="22"/>
    </row>
    <row r="538">
      <c r="C538" s="22"/>
      <c r="D538" s="22"/>
    </row>
    <row r="539">
      <c r="C539" s="22"/>
      <c r="D539" s="22"/>
    </row>
    <row r="540">
      <c r="C540" s="22"/>
      <c r="D540" s="22"/>
    </row>
    <row r="541">
      <c r="C541" s="22"/>
      <c r="D541" s="22"/>
    </row>
    <row r="542">
      <c r="C542" s="22"/>
      <c r="D542" s="22"/>
    </row>
    <row r="543">
      <c r="C543" s="22"/>
      <c r="D543" s="22"/>
    </row>
    <row r="544">
      <c r="C544" s="22"/>
      <c r="D544" s="22"/>
    </row>
    <row r="545">
      <c r="C545" s="22"/>
      <c r="D545" s="22"/>
    </row>
    <row r="546">
      <c r="C546" s="22"/>
      <c r="D546" s="22"/>
    </row>
    <row r="547">
      <c r="C547" s="22"/>
      <c r="D547" s="22"/>
    </row>
    <row r="548">
      <c r="C548" s="22"/>
      <c r="D548" s="22"/>
    </row>
    <row r="549">
      <c r="C549" s="22"/>
      <c r="D549" s="22"/>
    </row>
    <row r="550">
      <c r="C550" s="22"/>
      <c r="D550" s="22"/>
    </row>
    <row r="551">
      <c r="C551" s="22"/>
      <c r="D551" s="22"/>
    </row>
    <row r="552">
      <c r="C552" s="22"/>
      <c r="D552" s="22"/>
    </row>
    <row r="553">
      <c r="C553" s="22"/>
      <c r="D553" s="22"/>
    </row>
    <row r="554">
      <c r="C554" s="22"/>
      <c r="D554" s="22"/>
    </row>
    <row r="555">
      <c r="C555" s="22"/>
      <c r="D555" s="22"/>
    </row>
    <row r="556">
      <c r="C556" s="22"/>
      <c r="D556" s="22"/>
    </row>
    <row r="557">
      <c r="C557" s="22"/>
      <c r="D557" s="22"/>
    </row>
    <row r="558">
      <c r="C558" s="22"/>
      <c r="D558" s="22"/>
    </row>
    <row r="559">
      <c r="C559" s="22"/>
      <c r="D559" s="22"/>
    </row>
    <row r="560">
      <c r="C560" s="22"/>
      <c r="D560" s="22"/>
    </row>
    <row r="561">
      <c r="C561" s="22"/>
      <c r="D561" s="22"/>
    </row>
    <row r="562">
      <c r="C562" s="22"/>
      <c r="D562" s="22"/>
    </row>
    <row r="563">
      <c r="C563" s="22"/>
      <c r="D563" s="22"/>
    </row>
    <row r="564">
      <c r="C564" s="22"/>
      <c r="D564" s="22"/>
    </row>
    <row r="565">
      <c r="C565" s="22"/>
      <c r="D565" s="22"/>
    </row>
    <row r="566">
      <c r="C566" s="22"/>
      <c r="D566" s="22"/>
    </row>
    <row r="567">
      <c r="C567" s="22"/>
      <c r="D567" s="22"/>
    </row>
    <row r="568">
      <c r="C568" s="22"/>
      <c r="D568" s="22"/>
    </row>
    <row r="569">
      <c r="C569" s="22"/>
      <c r="D569" s="22"/>
    </row>
    <row r="570">
      <c r="C570" s="22"/>
      <c r="D570" s="22"/>
    </row>
    <row r="571">
      <c r="C571" s="22"/>
      <c r="D571" s="22"/>
    </row>
    <row r="572">
      <c r="C572" s="22"/>
      <c r="D572" s="22"/>
    </row>
    <row r="573">
      <c r="C573" s="22"/>
      <c r="D573" s="22"/>
    </row>
    <row r="574">
      <c r="C574" s="22"/>
      <c r="D574" s="22"/>
    </row>
    <row r="575">
      <c r="C575" s="22"/>
      <c r="D575" s="22"/>
    </row>
    <row r="576">
      <c r="C576" s="22"/>
      <c r="D576" s="22"/>
    </row>
    <row r="577">
      <c r="C577" s="22"/>
      <c r="D577" s="22"/>
    </row>
    <row r="578">
      <c r="C578" s="22"/>
      <c r="D578" s="22"/>
    </row>
    <row r="579">
      <c r="C579" s="22"/>
      <c r="D579" s="22"/>
    </row>
    <row r="580">
      <c r="C580" s="22"/>
      <c r="D580" s="22"/>
    </row>
    <row r="581">
      <c r="C581" s="22"/>
      <c r="D581" s="22"/>
    </row>
    <row r="582">
      <c r="C582" s="22"/>
      <c r="D582" s="22"/>
    </row>
    <row r="583">
      <c r="C583" s="22"/>
      <c r="D583" s="22"/>
    </row>
    <row r="584">
      <c r="C584" s="22"/>
      <c r="D584" s="22"/>
    </row>
    <row r="585">
      <c r="C585" s="22"/>
      <c r="D585" s="22"/>
    </row>
    <row r="586">
      <c r="C586" s="22"/>
      <c r="D586" s="22"/>
    </row>
    <row r="587">
      <c r="C587" s="22"/>
      <c r="D587" s="22"/>
    </row>
    <row r="588">
      <c r="C588" s="22"/>
      <c r="D588" s="22"/>
    </row>
    <row r="589">
      <c r="C589" s="22"/>
      <c r="D589" s="22"/>
    </row>
    <row r="590">
      <c r="C590" s="22"/>
      <c r="D590" s="22"/>
    </row>
    <row r="591">
      <c r="C591" s="22"/>
      <c r="D591" s="22"/>
    </row>
    <row r="592">
      <c r="C592" s="22"/>
      <c r="D592" s="22"/>
    </row>
    <row r="593">
      <c r="C593" s="22"/>
      <c r="D593" s="22"/>
    </row>
    <row r="594">
      <c r="C594" s="22"/>
      <c r="D594" s="22"/>
    </row>
    <row r="595">
      <c r="C595" s="22"/>
      <c r="D595" s="22"/>
    </row>
    <row r="596">
      <c r="C596" s="22"/>
      <c r="D596" s="22"/>
    </row>
    <row r="597">
      <c r="C597" s="22"/>
      <c r="D597" s="22"/>
    </row>
    <row r="598">
      <c r="C598" s="22"/>
      <c r="D598" s="22"/>
    </row>
    <row r="599">
      <c r="C599" s="22"/>
      <c r="D599" s="22"/>
    </row>
    <row r="600">
      <c r="C600" s="22"/>
      <c r="D600" s="22"/>
    </row>
    <row r="601">
      <c r="C601" s="22"/>
      <c r="D601" s="22"/>
    </row>
    <row r="602">
      <c r="C602" s="22"/>
      <c r="D602" s="22"/>
    </row>
    <row r="603">
      <c r="C603" s="22"/>
      <c r="D603" s="22"/>
    </row>
    <row r="604">
      <c r="C604" s="22"/>
      <c r="D604" s="22"/>
    </row>
    <row r="605">
      <c r="C605" s="22"/>
      <c r="D605" s="22"/>
    </row>
    <row r="606">
      <c r="C606" s="22"/>
      <c r="D606" s="22"/>
    </row>
    <row r="607">
      <c r="C607" s="22"/>
      <c r="D607" s="22"/>
    </row>
    <row r="608">
      <c r="C608" s="22"/>
      <c r="D608" s="22"/>
    </row>
    <row r="609">
      <c r="C609" s="22"/>
      <c r="D609" s="22"/>
    </row>
    <row r="610">
      <c r="C610" s="22"/>
      <c r="D610" s="22"/>
    </row>
    <row r="611">
      <c r="C611" s="22"/>
      <c r="D611" s="22"/>
    </row>
    <row r="612">
      <c r="C612" s="22"/>
      <c r="D612" s="22"/>
    </row>
    <row r="613">
      <c r="C613" s="22"/>
      <c r="D613" s="22"/>
    </row>
    <row r="614">
      <c r="C614" s="22"/>
      <c r="D614" s="22"/>
    </row>
    <row r="615">
      <c r="C615" s="22"/>
      <c r="D615" s="22"/>
    </row>
    <row r="616">
      <c r="C616" s="22"/>
      <c r="D616" s="22"/>
    </row>
    <row r="617">
      <c r="C617" s="22"/>
      <c r="D617" s="22"/>
    </row>
    <row r="618">
      <c r="C618" s="22"/>
      <c r="D618" s="22"/>
    </row>
    <row r="619">
      <c r="C619" s="22"/>
      <c r="D619" s="22"/>
    </row>
    <row r="620">
      <c r="C620" s="22"/>
      <c r="D620" s="22"/>
    </row>
    <row r="621">
      <c r="C621" s="22"/>
      <c r="D621" s="22"/>
    </row>
    <row r="622">
      <c r="C622" s="22"/>
      <c r="D622" s="22"/>
    </row>
    <row r="623">
      <c r="C623" s="22"/>
      <c r="D623" s="22"/>
    </row>
    <row r="624">
      <c r="C624" s="22"/>
      <c r="D624" s="22"/>
    </row>
    <row r="625">
      <c r="C625" s="22"/>
      <c r="D625" s="22"/>
    </row>
    <row r="626">
      <c r="C626" s="22"/>
      <c r="D626" s="22"/>
    </row>
    <row r="627">
      <c r="C627" s="22"/>
      <c r="D627" s="22"/>
    </row>
    <row r="628">
      <c r="C628" s="22"/>
      <c r="D628" s="22"/>
    </row>
    <row r="629">
      <c r="C629" s="22"/>
      <c r="D629" s="22"/>
    </row>
    <row r="630">
      <c r="C630" s="22"/>
      <c r="D630" s="22"/>
    </row>
    <row r="631">
      <c r="C631" s="22"/>
      <c r="D631" s="22"/>
    </row>
    <row r="632">
      <c r="C632" s="22"/>
      <c r="D632" s="22"/>
    </row>
    <row r="633">
      <c r="C633" s="22"/>
      <c r="D633" s="22"/>
    </row>
    <row r="634">
      <c r="C634" s="22"/>
      <c r="D634" s="22"/>
    </row>
    <row r="635">
      <c r="C635" s="22"/>
      <c r="D635" s="22"/>
    </row>
    <row r="636">
      <c r="C636" s="22"/>
      <c r="D636" s="22"/>
    </row>
    <row r="637">
      <c r="C637" s="22"/>
      <c r="D637" s="22"/>
    </row>
    <row r="638">
      <c r="C638" s="22"/>
      <c r="D638" s="22"/>
    </row>
    <row r="639">
      <c r="C639" s="22"/>
      <c r="D639" s="22"/>
    </row>
    <row r="640">
      <c r="C640" s="22"/>
      <c r="D640" s="22"/>
    </row>
    <row r="641">
      <c r="C641" s="22"/>
      <c r="D641" s="22"/>
    </row>
    <row r="642">
      <c r="C642" s="22"/>
      <c r="D642" s="22"/>
    </row>
    <row r="643">
      <c r="C643" s="22"/>
      <c r="D643" s="22"/>
    </row>
    <row r="644">
      <c r="C644" s="22"/>
      <c r="D644" s="22"/>
    </row>
    <row r="645">
      <c r="C645" s="22"/>
      <c r="D645" s="22"/>
    </row>
    <row r="646">
      <c r="C646" s="22"/>
      <c r="D646" s="22"/>
    </row>
    <row r="647">
      <c r="C647" s="22"/>
      <c r="D647" s="22"/>
    </row>
    <row r="648">
      <c r="C648" s="22"/>
      <c r="D648" s="22"/>
    </row>
    <row r="649">
      <c r="C649" s="22"/>
      <c r="D649" s="22"/>
    </row>
    <row r="650">
      <c r="C650" s="22"/>
      <c r="D650" s="22"/>
    </row>
    <row r="651">
      <c r="C651" s="22"/>
      <c r="D651" s="22"/>
    </row>
    <row r="652">
      <c r="C652" s="22"/>
      <c r="D652" s="22"/>
    </row>
    <row r="653">
      <c r="C653" s="22"/>
      <c r="D653" s="22"/>
    </row>
    <row r="654">
      <c r="C654" s="22"/>
      <c r="D654" s="22"/>
    </row>
    <row r="655">
      <c r="C655" s="22"/>
      <c r="D655" s="22"/>
    </row>
    <row r="656">
      <c r="C656" s="22"/>
      <c r="D656" s="22"/>
    </row>
    <row r="657">
      <c r="C657" s="22"/>
      <c r="D657" s="22"/>
    </row>
    <row r="658">
      <c r="C658" s="22"/>
      <c r="D658" s="22"/>
    </row>
    <row r="659">
      <c r="C659" s="22"/>
      <c r="D659" s="22"/>
    </row>
    <row r="660">
      <c r="C660" s="22"/>
      <c r="D660" s="22"/>
    </row>
    <row r="661">
      <c r="C661" s="22"/>
      <c r="D661" s="22"/>
    </row>
    <row r="662">
      <c r="C662" s="22"/>
      <c r="D662" s="22"/>
    </row>
    <row r="663">
      <c r="C663" s="22"/>
      <c r="D663" s="22"/>
    </row>
    <row r="664">
      <c r="C664" s="22"/>
      <c r="D664" s="22"/>
    </row>
    <row r="665">
      <c r="C665" s="22"/>
      <c r="D665" s="22"/>
    </row>
    <row r="666">
      <c r="C666" s="22"/>
      <c r="D666" s="22"/>
    </row>
    <row r="667">
      <c r="C667" s="22"/>
      <c r="D667" s="22"/>
    </row>
    <row r="668">
      <c r="C668" s="22"/>
      <c r="D668" s="22"/>
    </row>
    <row r="669">
      <c r="C669" s="22"/>
      <c r="D669" s="22"/>
    </row>
    <row r="670">
      <c r="C670" s="22"/>
      <c r="D670" s="22"/>
    </row>
    <row r="671">
      <c r="C671" s="22"/>
      <c r="D671" s="22"/>
    </row>
    <row r="672">
      <c r="C672" s="22"/>
      <c r="D672" s="22"/>
    </row>
    <row r="673">
      <c r="C673" s="22"/>
      <c r="D673" s="22"/>
    </row>
    <row r="674">
      <c r="C674" s="22"/>
      <c r="D674" s="22"/>
    </row>
    <row r="675">
      <c r="C675" s="22"/>
      <c r="D675" s="22"/>
    </row>
    <row r="676">
      <c r="C676" s="22"/>
      <c r="D676" s="22"/>
    </row>
    <row r="677">
      <c r="C677" s="22"/>
      <c r="D677" s="22"/>
    </row>
    <row r="678">
      <c r="C678" s="22"/>
      <c r="D678" s="22"/>
    </row>
    <row r="679">
      <c r="C679" s="22"/>
      <c r="D679" s="22"/>
    </row>
    <row r="680">
      <c r="C680" s="22"/>
      <c r="D680" s="22"/>
    </row>
    <row r="681">
      <c r="C681" s="22"/>
      <c r="D681" s="22"/>
    </row>
    <row r="682">
      <c r="C682" s="22"/>
      <c r="D682" s="22"/>
    </row>
    <row r="683">
      <c r="C683" s="22"/>
      <c r="D683" s="22"/>
    </row>
    <row r="684">
      <c r="C684" s="22"/>
      <c r="D684" s="22"/>
    </row>
    <row r="685">
      <c r="C685" s="22"/>
      <c r="D685" s="22"/>
    </row>
    <row r="686">
      <c r="C686" s="22"/>
      <c r="D686" s="22"/>
    </row>
    <row r="687">
      <c r="C687" s="22"/>
      <c r="D687" s="22"/>
    </row>
    <row r="688">
      <c r="C688" s="22"/>
      <c r="D688" s="22"/>
    </row>
    <row r="689">
      <c r="C689" s="22"/>
      <c r="D689" s="22"/>
    </row>
    <row r="690">
      <c r="C690" s="22"/>
      <c r="D690" s="22"/>
    </row>
    <row r="691">
      <c r="C691" s="22"/>
      <c r="D691" s="22"/>
    </row>
    <row r="692">
      <c r="C692" s="22"/>
      <c r="D692" s="22"/>
    </row>
    <row r="693">
      <c r="C693" s="22"/>
      <c r="D693" s="22"/>
    </row>
    <row r="694">
      <c r="C694" s="22"/>
      <c r="D694" s="22"/>
    </row>
    <row r="695">
      <c r="C695" s="22"/>
      <c r="D695" s="22"/>
    </row>
    <row r="696">
      <c r="C696" s="22"/>
      <c r="D696" s="22"/>
    </row>
    <row r="697">
      <c r="C697" s="22"/>
      <c r="D697" s="22"/>
    </row>
    <row r="698">
      <c r="C698" s="22"/>
      <c r="D698" s="22"/>
    </row>
    <row r="699">
      <c r="C699" s="22"/>
      <c r="D699" s="22"/>
    </row>
    <row r="700">
      <c r="C700" s="22"/>
      <c r="D700" s="22"/>
    </row>
    <row r="701">
      <c r="C701" s="22"/>
      <c r="D701" s="22"/>
    </row>
    <row r="702">
      <c r="C702" s="22"/>
      <c r="D702" s="22"/>
    </row>
    <row r="703">
      <c r="C703" s="22"/>
      <c r="D703" s="22"/>
    </row>
    <row r="704">
      <c r="C704" s="22"/>
      <c r="D704" s="22"/>
    </row>
    <row r="705">
      <c r="C705" s="22"/>
      <c r="D705" s="22"/>
    </row>
    <row r="706">
      <c r="C706" s="22"/>
      <c r="D706" s="22"/>
    </row>
    <row r="707">
      <c r="C707" s="22"/>
      <c r="D707" s="22"/>
    </row>
    <row r="708">
      <c r="C708" s="22"/>
      <c r="D708" s="22"/>
    </row>
    <row r="709">
      <c r="C709" s="22"/>
      <c r="D709" s="22"/>
    </row>
    <row r="710">
      <c r="C710" s="22"/>
      <c r="D710" s="22"/>
    </row>
    <row r="711">
      <c r="C711" s="22"/>
      <c r="D711" s="22"/>
    </row>
    <row r="712">
      <c r="C712" s="22"/>
      <c r="D712" s="22"/>
    </row>
    <row r="713">
      <c r="C713" s="22"/>
      <c r="D713" s="22"/>
    </row>
    <row r="714">
      <c r="C714" s="22"/>
      <c r="D714" s="22"/>
    </row>
    <row r="715">
      <c r="C715" s="22"/>
      <c r="D715" s="22"/>
    </row>
    <row r="716">
      <c r="C716" s="22"/>
      <c r="D716" s="22"/>
    </row>
    <row r="717">
      <c r="C717" s="22"/>
      <c r="D717" s="22"/>
    </row>
    <row r="718">
      <c r="C718" s="22"/>
      <c r="D718" s="22"/>
    </row>
    <row r="719">
      <c r="C719" s="22"/>
      <c r="D719" s="22"/>
    </row>
    <row r="720">
      <c r="C720" s="22"/>
      <c r="D720" s="22"/>
    </row>
    <row r="721">
      <c r="C721" s="22"/>
      <c r="D721" s="22"/>
    </row>
    <row r="722">
      <c r="C722" s="22"/>
      <c r="D722" s="22"/>
    </row>
    <row r="723">
      <c r="C723" s="22"/>
      <c r="D723" s="22"/>
    </row>
    <row r="724">
      <c r="C724" s="22"/>
      <c r="D724" s="22"/>
    </row>
    <row r="725">
      <c r="C725" s="22"/>
      <c r="D725" s="22"/>
    </row>
    <row r="726">
      <c r="C726" s="22"/>
      <c r="D726" s="22"/>
    </row>
    <row r="727">
      <c r="C727" s="22"/>
      <c r="D727" s="22"/>
    </row>
    <row r="728">
      <c r="C728" s="22"/>
      <c r="D728" s="22"/>
    </row>
    <row r="729">
      <c r="C729" s="22"/>
      <c r="D729" s="22"/>
    </row>
    <row r="730">
      <c r="C730" s="22"/>
      <c r="D730" s="22"/>
    </row>
    <row r="731">
      <c r="C731" s="22"/>
      <c r="D731" s="22"/>
    </row>
    <row r="732">
      <c r="C732" s="22"/>
      <c r="D732" s="22"/>
    </row>
    <row r="733">
      <c r="C733" s="22"/>
      <c r="D733" s="22"/>
    </row>
    <row r="734">
      <c r="C734" s="22"/>
      <c r="D734" s="22"/>
    </row>
    <row r="735">
      <c r="C735" s="22"/>
      <c r="D735" s="22"/>
    </row>
    <row r="736">
      <c r="C736" s="22"/>
      <c r="D736" s="22"/>
    </row>
    <row r="737">
      <c r="C737" s="22"/>
      <c r="D737" s="22"/>
    </row>
    <row r="738">
      <c r="C738" s="22"/>
      <c r="D738" s="22"/>
    </row>
    <row r="739">
      <c r="C739" s="22"/>
      <c r="D739" s="22"/>
    </row>
    <row r="740">
      <c r="C740" s="22"/>
      <c r="D740" s="22"/>
    </row>
    <row r="741">
      <c r="C741" s="22"/>
      <c r="D741" s="22"/>
    </row>
    <row r="742">
      <c r="C742" s="22"/>
      <c r="D742" s="22"/>
    </row>
    <row r="743">
      <c r="C743" s="22"/>
      <c r="D743" s="22"/>
    </row>
    <row r="744">
      <c r="C744" s="22"/>
      <c r="D744" s="22"/>
    </row>
    <row r="745">
      <c r="C745" s="22"/>
      <c r="D745" s="22"/>
    </row>
    <row r="746">
      <c r="C746" s="22"/>
      <c r="D746" s="22"/>
    </row>
    <row r="747">
      <c r="C747" s="22"/>
      <c r="D747" s="22"/>
    </row>
    <row r="748">
      <c r="C748" s="22"/>
      <c r="D748" s="22"/>
    </row>
    <row r="749">
      <c r="C749" s="22"/>
      <c r="D749" s="22"/>
    </row>
    <row r="750">
      <c r="C750" s="22"/>
      <c r="D750" s="22"/>
    </row>
    <row r="751">
      <c r="C751" s="22"/>
      <c r="D751" s="22"/>
    </row>
    <row r="752">
      <c r="C752" s="22"/>
      <c r="D752" s="22"/>
    </row>
    <row r="753">
      <c r="C753" s="22"/>
      <c r="D753" s="22"/>
    </row>
    <row r="754">
      <c r="C754" s="22"/>
      <c r="D754" s="22"/>
    </row>
    <row r="755">
      <c r="C755" s="22"/>
      <c r="D755" s="22"/>
    </row>
    <row r="756">
      <c r="C756" s="22"/>
      <c r="D756" s="22"/>
    </row>
    <row r="757">
      <c r="C757" s="22"/>
      <c r="D757" s="22"/>
    </row>
    <row r="758">
      <c r="C758" s="22"/>
      <c r="D758" s="22"/>
    </row>
    <row r="759">
      <c r="C759" s="22"/>
      <c r="D759" s="22"/>
    </row>
    <row r="760">
      <c r="C760" s="22"/>
      <c r="D760" s="22"/>
    </row>
    <row r="761">
      <c r="C761" s="22"/>
      <c r="D761" s="22"/>
    </row>
    <row r="762">
      <c r="C762" s="22"/>
      <c r="D762" s="22"/>
    </row>
    <row r="763">
      <c r="C763" s="22"/>
      <c r="D763" s="22"/>
    </row>
    <row r="764">
      <c r="C764" s="22"/>
      <c r="D764" s="22"/>
    </row>
    <row r="765">
      <c r="C765" s="22"/>
      <c r="D765" s="22"/>
    </row>
    <row r="766">
      <c r="C766" s="22"/>
      <c r="D766" s="22"/>
    </row>
    <row r="767">
      <c r="C767" s="22"/>
      <c r="D767" s="22"/>
    </row>
    <row r="768">
      <c r="C768" s="22"/>
      <c r="D768" s="22"/>
    </row>
    <row r="769">
      <c r="C769" s="22"/>
      <c r="D769" s="22"/>
    </row>
    <row r="770">
      <c r="C770" s="22"/>
      <c r="D770" s="22"/>
    </row>
    <row r="771">
      <c r="C771" s="22"/>
      <c r="D771" s="22"/>
    </row>
    <row r="772">
      <c r="C772" s="22"/>
      <c r="D772" s="22"/>
    </row>
    <row r="773">
      <c r="C773" s="22"/>
      <c r="D773" s="22"/>
    </row>
    <row r="774">
      <c r="C774" s="22"/>
      <c r="D774" s="22"/>
    </row>
    <row r="775">
      <c r="C775" s="22"/>
      <c r="D775" s="22"/>
    </row>
    <row r="776">
      <c r="C776" s="22"/>
      <c r="D776" s="22"/>
    </row>
    <row r="777">
      <c r="C777" s="22"/>
      <c r="D777" s="22"/>
    </row>
    <row r="778">
      <c r="C778" s="22"/>
      <c r="D778" s="22"/>
    </row>
    <row r="779">
      <c r="C779" s="22"/>
      <c r="D779" s="22"/>
    </row>
    <row r="780">
      <c r="C780" s="22"/>
      <c r="D780" s="22"/>
    </row>
    <row r="781">
      <c r="C781" s="22"/>
      <c r="D781" s="22"/>
    </row>
    <row r="782">
      <c r="C782" s="22"/>
      <c r="D782" s="22"/>
    </row>
    <row r="783">
      <c r="C783" s="22"/>
      <c r="D783" s="22"/>
    </row>
    <row r="784">
      <c r="C784" s="22"/>
      <c r="D784" s="22"/>
    </row>
    <row r="785">
      <c r="C785" s="22"/>
      <c r="D785" s="22"/>
    </row>
    <row r="786">
      <c r="C786" s="22"/>
      <c r="D786" s="22"/>
    </row>
    <row r="787">
      <c r="C787" s="22"/>
      <c r="D787" s="22"/>
    </row>
    <row r="788">
      <c r="C788" s="22"/>
      <c r="D788" s="22"/>
    </row>
    <row r="789">
      <c r="C789" s="22"/>
      <c r="D789" s="22"/>
    </row>
    <row r="790">
      <c r="C790" s="22"/>
      <c r="D790" s="22"/>
    </row>
    <row r="791">
      <c r="C791" s="22"/>
      <c r="D791" s="22"/>
    </row>
    <row r="792">
      <c r="C792" s="22"/>
      <c r="D792" s="22"/>
    </row>
    <row r="793">
      <c r="C793" s="22"/>
      <c r="D793" s="22"/>
    </row>
    <row r="794">
      <c r="C794" s="22"/>
      <c r="D794" s="22"/>
    </row>
    <row r="795">
      <c r="C795" s="22"/>
      <c r="D795" s="22"/>
    </row>
    <row r="796">
      <c r="C796" s="22"/>
      <c r="D796" s="22"/>
    </row>
    <row r="797">
      <c r="C797" s="22"/>
      <c r="D797" s="22"/>
    </row>
    <row r="798">
      <c r="C798" s="22"/>
      <c r="D798" s="22"/>
    </row>
    <row r="799">
      <c r="C799" s="22"/>
      <c r="D799" s="22"/>
    </row>
    <row r="800">
      <c r="C800" s="22"/>
      <c r="D800" s="22"/>
    </row>
    <row r="801">
      <c r="C801" s="22"/>
      <c r="D801" s="22"/>
    </row>
    <row r="802">
      <c r="C802" s="22"/>
      <c r="D802" s="22"/>
    </row>
    <row r="803">
      <c r="C803" s="22"/>
      <c r="D803" s="22"/>
    </row>
    <row r="804">
      <c r="C804" s="22"/>
      <c r="D804" s="22"/>
    </row>
    <row r="805">
      <c r="C805" s="22"/>
      <c r="D805" s="22"/>
    </row>
    <row r="806">
      <c r="C806" s="22"/>
      <c r="D806" s="22"/>
    </row>
    <row r="807">
      <c r="C807" s="22"/>
      <c r="D807" s="22"/>
    </row>
    <row r="808">
      <c r="C808" s="22"/>
      <c r="D808" s="22"/>
    </row>
    <row r="809">
      <c r="C809" s="22"/>
      <c r="D809" s="22"/>
    </row>
    <row r="810">
      <c r="C810" s="22"/>
      <c r="D810" s="22"/>
    </row>
    <row r="811">
      <c r="C811" s="22"/>
      <c r="D811" s="22"/>
    </row>
    <row r="812">
      <c r="C812" s="22"/>
      <c r="D812" s="22"/>
    </row>
    <row r="813">
      <c r="C813" s="22"/>
      <c r="D813" s="22"/>
    </row>
    <row r="814">
      <c r="C814" s="22"/>
      <c r="D814" s="22"/>
    </row>
    <row r="815">
      <c r="C815" s="22"/>
      <c r="D815" s="22"/>
    </row>
    <row r="816">
      <c r="C816" s="22"/>
      <c r="D816" s="22"/>
    </row>
    <row r="817">
      <c r="C817" s="22"/>
      <c r="D817" s="22"/>
    </row>
    <row r="818">
      <c r="C818" s="22"/>
      <c r="D818" s="22"/>
    </row>
    <row r="819">
      <c r="C819" s="22"/>
      <c r="D819" s="22"/>
    </row>
    <row r="820">
      <c r="C820" s="22"/>
      <c r="D820" s="22"/>
    </row>
    <row r="821">
      <c r="C821" s="22"/>
      <c r="D821" s="22"/>
    </row>
    <row r="822">
      <c r="C822" s="22"/>
      <c r="D822" s="22"/>
    </row>
    <row r="823">
      <c r="C823" s="22"/>
      <c r="D823" s="22"/>
    </row>
    <row r="824">
      <c r="C824" s="22"/>
      <c r="D824" s="22"/>
    </row>
    <row r="825">
      <c r="C825" s="22"/>
      <c r="D825" s="22"/>
    </row>
    <row r="826">
      <c r="C826" s="22"/>
      <c r="D826" s="22"/>
    </row>
    <row r="827">
      <c r="C827" s="22"/>
      <c r="D827" s="22"/>
    </row>
    <row r="828">
      <c r="C828" s="22"/>
      <c r="D828" s="22"/>
    </row>
    <row r="829">
      <c r="C829" s="22"/>
      <c r="D829" s="22"/>
    </row>
    <row r="830">
      <c r="C830" s="22"/>
      <c r="D830" s="22"/>
    </row>
    <row r="831">
      <c r="C831" s="22"/>
      <c r="D831" s="22"/>
    </row>
    <row r="832">
      <c r="C832" s="22"/>
      <c r="D832" s="22"/>
    </row>
    <row r="833">
      <c r="C833" s="22"/>
      <c r="D833" s="22"/>
    </row>
    <row r="834">
      <c r="C834" s="22"/>
      <c r="D834" s="22"/>
    </row>
    <row r="835">
      <c r="C835" s="22"/>
      <c r="D835" s="22"/>
    </row>
    <row r="836">
      <c r="C836" s="22"/>
      <c r="D836" s="22"/>
    </row>
    <row r="837">
      <c r="C837" s="22"/>
      <c r="D837" s="22"/>
    </row>
    <row r="838">
      <c r="C838" s="22"/>
      <c r="D838" s="22"/>
    </row>
    <row r="839">
      <c r="C839" s="22"/>
      <c r="D839" s="22"/>
    </row>
    <row r="840">
      <c r="C840" s="22"/>
      <c r="D840" s="22"/>
    </row>
    <row r="841">
      <c r="C841" s="22"/>
      <c r="D841" s="22"/>
    </row>
    <row r="842">
      <c r="C842" s="22"/>
      <c r="D842" s="22"/>
    </row>
    <row r="843">
      <c r="C843" s="22"/>
      <c r="D843" s="22"/>
    </row>
    <row r="844">
      <c r="C844" s="22"/>
      <c r="D844" s="22"/>
    </row>
    <row r="845">
      <c r="C845" s="22"/>
      <c r="D845" s="22"/>
    </row>
    <row r="846">
      <c r="C846" s="22"/>
      <c r="D846" s="22"/>
    </row>
    <row r="847">
      <c r="C847" s="22"/>
      <c r="D847" s="22"/>
    </row>
    <row r="848">
      <c r="C848" s="22"/>
      <c r="D848" s="22"/>
    </row>
    <row r="849">
      <c r="C849" s="22"/>
      <c r="D849" s="22"/>
    </row>
    <row r="850">
      <c r="C850" s="22"/>
      <c r="D850" s="22"/>
    </row>
    <row r="851">
      <c r="C851" s="22"/>
      <c r="D851" s="22"/>
    </row>
    <row r="852">
      <c r="C852" s="22"/>
      <c r="D852" s="22"/>
    </row>
    <row r="853">
      <c r="C853" s="22"/>
      <c r="D853" s="22"/>
    </row>
    <row r="854">
      <c r="C854" s="22"/>
      <c r="D854" s="22"/>
    </row>
    <row r="855">
      <c r="C855" s="22"/>
      <c r="D855" s="22"/>
    </row>
    <row r="856">
      <c r="C856" s="22"/>
      <c r="D856" s="22"/>
    </row>
    <row r="857">
      <c r="C857" s="22"/>
      <c r="D857" s="22"/>
    </row>
    <row r="858">
      <c r="C858" s="22"/>
      <c r="D858" s="22"/>
    </row>
    <row r="859">
      <c r="C859" s="22"/>
      <c r="D859" s="22"/>
    </row>
    <row r="860">
      <c r="C860" s="22"/>
      <c r="D860" s="22"/>
    </row>
    <row r="861">
      <c r="C861" s="22"/>
      <c r="D861" s="22"/>
    </row>
    <row r="862">
      <c r="C862" s="22"/>
      <c r="D862" s="22"/>
    </row>
    <row r="863">
      <c r="C863" s="22"/>
      <c r="D863" s="22"/>
    </row>
    <row r="864">
      <c r="C864" s="22"/>
      <c r="D864" s="22"/>
    </row>
    <row r="865">
      <c r="C865" s="22"/>
      <c r="D865" s="22"/>
    </row>
    <row r="866">
      <c r="C866" s="22"/>
      <c r="D866" s="22"/>
    </row>
    <row r="867">
      <c r="C867" s="22"/>
      <c r="D867" s="22"/>
    </row>
    <row r="868">
      <c r="C868" s="22"/>
      <c r="D868" s="22"/>
    </row>
    <row r="869">
      <c r="C869" s="22"/>
      <c r="D869" s="22"/>
    </row>
    <row r="870">
      <c r="C870" s="22"/>
      <c r="D870" s="22"/>
    </row>
    <row r="871">
      <c r="C871" s="22"/>
      <c r="D871" s="22"/>
    </row>
    <row r="872">
      <c r="C872" s="22"/>
      <c r="D872" s="22"/>
    </row>
    <row r="873">
      <c r="C873" s="22"/>
      <c r="D873" s="22"/>
    </row>
    <row r="874">
      <c r="C874" s="22"/>
      <c r="D874" s="22"/>
    </row>
    <row r="875">
      <c r="C875" s="22"/>
      <c r="D875" s="22"/>
    </row>
    <row r="876">
      <c r="C876" s="22"/>
      <c r="D876" s="22"/>
    </row>
    <row r="877">
      <c r="C877" s="22"/>
      <c r="D877" s="22"/>
    </row>
    <row r="878">
      <c r="C878" s="22"/>
      <c r="D878" s="22"/>
    </row>
    <row r="879">
      <c r="C879" s="22"/>
      <c r="D879" s="22"/>
    </row>
    <row r="880">
      <c r="C880" s="22"/>
      <c r="D880" s="22"/>
    </row>
    <row r="881">
      <c r="C881" s="22"/>
      <c r="D881" s="22"/>
    </row>
    <row r="882">
      <c r="C882" s="22"/>
      <c r="D882" s="22"/>
    </row>
    <row r="883">
      <c r="C883" s="22"/>
      <c r="D883" s="22"/>
    </row>
    <row r="884">
      <c r="C884" s="22"/>
      <c r="D884" s="22"/>
    </row>
    <row r="885">
      <c r="C885" s="22"/>
      <c r="D885" s="22"/>
    </row>
    <row r="886">
      <c r="C886" s="22"/>
      <c r="D886" s="22"/>
    </row>
    <row r="887">
      <c r="C887" s="22"/>
      <c r="D887" s="22"/>
    </row>
    <row r="888">
      <c r="C888" s="22"/>
      <c r="D888" s="22"/>
    </row>
    <row r="889">
      <c r="C889" s="22"/>
      <c r="D889" s="22"/>
    </row>
    <row r="890">
      <c r="C890" s="22"/>
      <c r="D890" s="22"/>
    </row>
    <row r="891">
      <c r="C891" s="22"/>
      <c r="D891" s="22"/>
    </row>
    <row r="892">
      <c r="C892" s="22"/>
      <c r="D892" s="22"/>
    </row>
    <row r="893">
      <c r="C893" s="22"/>
      <c r="D893" s="22"/>
    </row>
    <row r="894">
      <c r="C894" s="22"/>
      <c r="D894" s="22"/>
    </row>
    <row r="895">
      <c r="C895" s="22"/>
      <c r="D895" s="22"/>
    </row>
    <row r="896">
      <c r="C896" s="22"/>
      <c r="D896" s="22"/>
    </row>
    <row r="897">
      <c r="C897" s="22"/>
      <c r="D897" s="22"/>
    </row>
    <row r="898">
      <c r="C898" s="22"/>
      <c r="D898" s="22"/>
    </row>
    <row r="899">
      <c r="C899" s="22"/>
      <c r="D899" s="22"/>
    </row>
    <row r="900">
      <c r="C900" s="22"/>
      <c r="D900" s="22"/>
    </row>
    <row r="901">
      <c r="C901" s="22"/>
      <c r="D901" s="22"/>
    </row>
    <row r="902">
      <c r="C902" s="22"/>
      <c r="D902" s="22"/>
    </row>
    <row r="903">
      <c r="C903" s="22"/>
      <c r="D903" s="22"/>
    </row>
    <row r="904">
      <c r="C904" s="22"/>
      <c r="D904" s="22"/>
    </row>
    <row r="905">
      <c r="C905" s="22"/>
      <c r="D905" s="22"/>
    </row>
    <row r="906">
      <c r="C906" s="22"/>
      <c r="D906" s="22"/>
    </row>
    <row r="907">
      <c r="C907" s="22"/>
      <c r="D907" s="22"/>
    </row>
    <row r="908">
      <c r="C908" s="22"/>
      <c r="D908" s="22"/>
    </row>
    <row r="909">
      <c r="C909" s="22"/>
      <c r="D909" s="22"/>
    </row>
    <row r="910">
      <c r="C910" s="22"/>
      <c r="D910" s="22"/>
    </row>
    <row r="911">
      <c r="C911" s="22"/>
      <c r="D911" s="22"/>
    </row>
    <row r="912">
      <c r="C912" s="22"/>
      <c r="D912" s="22"/>
    </row>
    <row r="913">
      <c r="C913" s="22"/>
      <c r="D913" s="22"/>
    </row>
    <row r="914">
      <c r="C914" s="22"/>
      <c r="D914" s="22"/>
    </row>
    <row r="915">
      <c r="C915" s="22"/>
      <c r="D915" s="22"/>
    </row>
    <row r="916">
      <c r="C916" s="22"/>
      <c r="D916" s="22"/>
    </row>
    <row r="917">
      <c r="C917" s="22"/>
      <c r="D917" s="22"/>
    </row>
    <row r="918">
      <c r="C918" s="22"/>
      <c r="D918" s="22"/>
    </row>
    <row r="919">
      <c r="C919" s="22"/>
      <c r="D919" s="22"/>
    </row>
    <row r="920">
      <c r="C920" s="22"/>
      <c r="D920" s="22"/>
    </row>
    <row r="921">
      <c r="C921" s="22"/>
      <c r="D921" s="22"/>
    </row>
    <row r="922">
      <c r="C922" s="22"/>
      <c r="D922" s="22"/>
    </row>
    <row r="923">
      <c r="C923" s="22"/>
      <c r="D923" s="22"/>
    </row>
    <row r="924">
      <c r="C924" s="22"/>
      <c r="D924" s="22"/>
    </row>
    <row r="925">
      <c r="C925" s="22"/>
      <c r="D925" s="22"/>
    </row>
    <row r="926">
      <c r="C926" s="22"/>
      <c r="D926" s="22"/>
    </row>
    <row r="927">
      <c r="C927" s="22"/>
      <c r="D927" s="22"/>
    </row>
    <row r="928">
      <c r="C928" s="22"/>
      <c r="D928" s="22"/>
    </row>
    <row r="929">
      <c r="C929" s="22"/>
      <c r="D929" s="22"/>
    </row>
    <row r="930">
      <c r="C930" s="22"/>
      <c r="D930" s="22"/>
    </row>
    <row r="931">
      <c r="C931" s="22"/>
      <c r="D931" s="22"/>
    </row>
    <row r="932">
      <c r="C932" s="22"/>
      <c r="D932" s="22"/>
    </row>
    <row r="933">
      <c r="C933" s="22"/>
      <c r="D933" s="22"/>
    </row>
    <row r="934">
      <c r="C934" s="22"/>
      <c r="D934" s="22"/>
    </row>
    <row r="935">
      <c r="C935" s="22"/>
      <c r="D935" s="22"/>
    </row>
    <row r="936">
      <c r="C936" s="22"/>
      <c r="D936" s="22"/>
    </row>
    <row r="937">
      <c r="C937" s="22"/>
      <c r="D937" s="22"/>
    </row>
    <row r="938">
      <c r="C938" s="22"/>
      <c r="D938" s="22"/>
    </row>
    <row r="939">
      <c r="C939" s="22"/>
      <c r="D939" s="22"/>
    </row>
    <row r="940">
      <c r="C940" s="22"/>
      <c r="D940" s="22"/>
    </row>
    <row r="941">
      <c r="C941" s="22"/>
      <c r="D941" s="22"/>
    </row>
    <row r="942">
      <c r="C942" s="22"/>
      <c r="D942" s="22"/>
    </row>
    <row r="943">
      <c r="C943" s="22"/>
      <c r="D943" s="22"/>
    </row>
    <row r="944">
      <c r="C944" s="22"/>
      <c r="D944" s="22"/>
    </row>
    <row r="945">
      <c r="C945" s="22"/>
      <c r="D945" s="22"/>
    </row>
    <row r="946">
      <c r="C946" s="22"/>
      <c r="D946" s="22"/>
    </row>
    <row r="947">
      <c r="C947" s="22"/>
      <c r="D947" s="22"/>
    </row>
    <row r="948">
      <c r="C948" s="22"/>
      <c r="D948" s="22"/>
    </row>
    <row r="949">
      <c r="C949" s="22"/>
      <c r="D949" s="22"/>
    </row>
    <row r="950">
      <c r="C950" s="22"/>
      <c r="D950" s="22"/>
    </row>
    <row r="951">
      <c r="C951" s="22"/>
      <c r="D951" s="22"/>
    </row>
    <row r="952">
      <c r="C952" s="22"/>
      <c r="D952" s="22"/>
    </row>
    <row r="953">
      <c r="C953" s="22"/>
      <c r="D953" s="22"/>
    </row>
    <row r="954">
      <c r="C954" s="22"/>
      <c r="D954" s="22"/>
    </row>
    <row r="955">
      <c r="C955" s="22"/>
      <c r="D955" s="22"/>
    </row>
    <row r="956">
      <c r="C956" s="22"/>
      <c r="D956" s="22"/>
    </row>
    <row r="957">
      <c r="C957" s="22"/>
      <c r="D957" s="22"/>
    </row>
    <row r="958">
      <c r="C958" s="22"/>
      <c r="D958" s="22"/>
    </row>
    <row r="959">
      <c r="C959" s="22"/>
      <c r="D959" s="22"/>
    </row>
    <row r="960">
      <c r="C960" s="22"/>
      <c r="D960" s="22"/>
    </row>
    <row r="961">
      <c r="C961" s="22"/>
      <c r="D961" s="22"/>
    </row>
    <row r="962">
      <c r="C962" s="22"/>
      <c r="D962" s="22"/>
    </row>
    <row r="963">
      <c r="C963" s="22"/>
      <c r="D963" s="22"/>
    </row>
    <row r="964">
      <c r="C964" s="22"/>
      <c r="D964" s="22"/>
    </row>
    <row r="965">
      <c r="C965" s="22"/>
      <c r="D965" s="22"/>
    </row>
    <row r="966">
      <c r="C966" s="22"/>
      <c r="D966" s="22"/>
    </row>
    <row r="967">
      <c r="C967" s="22"/>
      <c r="D967" s="22"/>
    </row>
    <row r="968">
      <c r="C968" s="22"/>
      <c r="D968" s="22"/>
    </row>
    <row r="969">
      <c r="C969" s="22"/>
      <c r="D969" s="22"/>
    </row>
    <row r="970">
      <c r="C970" s="22"/>
      <c r="D970" s="22"/>
    </row>
    <row r="971">
      <c r="C971" s="22"/>
      <c r="D971" s="22"/>
    </row>
    <row r="972">
      <c r="C972" s="22"/>
      <c r="D972" s="22"/>
    </row>
    <row r="973">
      <c r="C973" s="22"/>
      <c r="D973" s="22"/>
    </row>
    <row r="974">
      <c r="C974" s="22"/>
      <c r="D974" s="22"/>
    </row>
    <row r="975">
      <c r="C975" s="22"/>
      <c r="D975" s="22"/>
    </row>
    <row r="976">
      <c r="C976" s="22"/>
      <c r="D976" s="22"/>
    </row>
    <row r="977">
      <c r="C977" s="22"/>
      <c r="D977" s="22"/>
    </row>
    <row r="978">
      <c r="C978" s="22"/>
      <c r="D978" s="22"/>
    </row>
    <row r="979">
      <c r="C979" s="22"/>
      <c r="D979" s="22"/>
    </row>
    <row r="980">
      <c r="C980" s="22"/>
      <c r="D980" s="22"/>
    </row>
    <row r="981">
      <c r="C981" s="22"/>
      <c r="D981" s="22"/>
    </row>
    <row r="982">
      <c r="C982" s="22"/>
      <c r="D982" s="22"/>
    </row>
    <row r="983">
      <c r="C983" s="22"/>
      <c r="D983" s="22"/>
    </row>
    <row r="984">
      <c r="C984" s="22"/>
      <c r="D984" s="22"/>
    </row>
    <row r="985">
      <c r="C985" s="22"/>
      <c r="D985" s="22"/>
    </row>
    <row r="986">
      <c r="C986" s="22"/>
      <c r="D986" s="22"/>
    </row>
    <row r="987">
      <c r="C987" s="22"/>
      <c r="D987" s="22"/>
    </row>
    <row r="988">
      <c r="C988" s="22"/>
      <c r="D988" s="22"/>
    </row>
    <row r="989">
      <c r="C989" s="22"/>
      <c r="D989" s="22"/>
    </row>
    <row r="990">
      <c r="C990" s="22"/>
      <c r="D990" s="22"/>
    </row>
    <row r="991">
      <c r="C991" s="22"/>
      <c r="D991" s="22"/>
    </row>
    <row r="992">
      <c r="C992" s="22"/>
      <c r="D992" s="22"/>
    </row>
    <row r="993">
      <c r="C993" s="22"/>
      <c r="D993" s="22"/>
    </row>
    <row r="994">
      <c r="C994" s="22"/>
      <c r="D994" s="22"/>
    </row>
    <row r="995">
      <c r="C995" s="22"/>
      <c r="D995" s="22"/>
    </row>
    <row r="996">
      <c r="C996" s="22"/>
      <c r="D996" s="22"/>
    </row>
    <row r="997">
      <c r="C997" s="22"/>
      <c r="D997" s="22"/>
    </row>
    <row r="998">
      <c r="C998" s="22"/>
      <c r="D998" s="22"/>
    </row>
    <row r="999">
      <c r="C999" s="22"/>
      <c r="D999" s="22"/>
    </row>
    <row r="1000">
      <c r="C1000" s="22"/>
      <c r="D1000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1.14"/>
    <col customWidth="1" min="4" max="4" width="26.14"/>
  </cols>
  <sheetData>
    <row r="1">
      <c r="A1" s="46"/>
      <c r="B1" s="46"/>
      <c r="C1" s="46"/>
      <c r="D1" s="46"/>
      <c r="E1" s="46"/>
      <c r="F1" s="46"/>
      <c r="G1" s="46"/>
      <c r="H1" s="46"/>
      <c r="I1" s="46"/>
    </row>
    <row r="2">
      <c r="A2" s="47" t="s">
        <v>3</v>
      </c>
      <c r="B2" s="48" t="s">
        <v>80</v>
      </c>
      <c r="C2" s="49"/>
      <c r="D2" s="48" t="s">
        <v>242</v>
      </c>
      <c r="E2" s="50" t="s">
        <v>87</v>
      </c>
      <c r="F2" s="50" t="s">
        <v>91</v>
      </c>
      <c r="G2" s="50" t="s">
        <v>93</v>
      </c>
      <c r="H2" s="50" t="s">
        <v>84</v>
      </c>
      <c r="I2" s="50" t="s">
        <v>85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>
      <c r="A3" s="52" t="s">
        <v>243</v>
      </c>
      <c r="B3" s="53" t="s">
        <v>86</v>
      </c>
      <c r="C3" s="50" t="s">
        <v>87</v>
      </c>
      <c r="D3" s="54"/>
      <c r="E3" s="55" t="s">
        <v>244</v>
      </c>
      <c r="F3" s="49"/>
      <c r="G3" s="49"/>
      <c r="H3" s="55" t="s">
        <v>89</v>
      </c>
      <c r="I3" s="55" t="s">
        <v>90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>
      <c r="A4" s="31"/>
      <c r="B4" s="31"/>
      <c r="C4" s="50" t="s">
        <v>91</v>
      </c>
      <c r="D4" s="31"/>
      <c r="E4" s="55" t="s">
        <v>245</v>
      </c>
      <c r="F4" s="49"/>
      <c r="G4" s="49"/>
      <c r="H4" s="49"/>
      <c r="I4" s="49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>
      <c r="A5" s="32"/>
      <c r="B5" s="32"/>
      <c r="C5" s="50" t="s">
        <v>93</v>
      </c>
      <c r="D5" s="32"/>
      <c r="E5" s="55" t="s">
        <v>246</v>
      </c>
      <c r="F5" s="49"/>
      <c r="G5" s="49"/>
      <c r="H5" s="49"/>
      <c r="I5" s="49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>
      <c r="A6" s="52" t="s">
        <v>247</v>
      </c>
      <c r="B6" s="53" t="s">
        <v>96</v>
      </c>
      <c r="C6" s="50" t="s">
        <v>248</v>
      </c>
      <c r="D6" s="54"/>
      <c r="E6" s="55" t="s">
        <v>249</v>
      </c>
      <c r="F6" s="49"/>
      <c r="G6" s="49"/>
      <c r="H6" s="55" t="s">
        <v>98</v>
      </c>
      <c r="I6" s="55" t="s">
        <v>99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>
      <c r="A7" s="31"/>
      <c r="B7" s="31"/>
      <c r="C7" s="50" t="s">
        <v>250</v>
      </c>
      <c r="D7" s="31"/>
      <c r="E7" s="55" t="s">
        <v>251</v>
      </c>
      <c r="F7" s="49"/>
      <c r="G7" s="49"/>
      <c r="H7" s="49"/>
      <c r="I7" s="49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>
      <c r="A8" s="32"/>
      <c r="B8" s="32"/>
      <c r="C8" s="50" t="s">
        <v>252</v>
      </c>
      <c r="D8" s="32"/>
      <c r="E8" s="55" t="s">
        <v>253</v>
      </c>
      <c r="F8" s="49"/>
      <c r="G8" s="49"/>
      <c r="H8" s="49"/>
      <c r="I8" s="49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>
      <c r="A9" s="52" t="s">
        <v>254</v>
      </c>
      <c r="B9" s="53" t="s">
        <v>103</v>
      </c>
      <c r="C9" s="50" t="s">
        <v>255</v>
      </c>
      <c r="D9" s="49"/>
      <c r="E9" s="55" t="s">
        <v>256</v>
      </c>
      <c r="F9" s="51"/>
      <c r="G9" s="49"/>
      <c r="H9" s="55" t="s">
        <v>105</v>
      </c>
      <c r="I9" s="55" t="s">
        <v>106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>
      <c r="A10" s="31"/>
      <c r="B10" s="31"/>
      <c r="C10" s="50" t="s">
        <v>257</v>
      </c>
      <c r="D10" s="49"/>
      <c r="E10" s="55" t="s">
        <v>258</v>
      </c>
      <c r="F10" s="49"/>
      <c r="G10" s="49"/>
      <c r="H10" s="49"/>
      <c r="I10" s="49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>
      <c r="A11" s="32"/>
      <c r="B11" s="32"/>
      <c r="C11" s="50" t="s">
        <v>259</v>
      </c>
      <c r="D11" s="49"/>
      <c r="E11" s="55" t="s">
        <v>260</v>
      </c>
      <c r="F11" s="49"/>
      <c r="G11" s="49"/>
      <c r="H11" s="49"/>
      <c r="I11" s="49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>
      <c r="A12" s="52" t="s">
        <v>261</v>
      </c>
      <c r="B12" s="53" t="s">
        <v>110</v>
      </c>
      <c r="C12" s="50" t="s">
        <v>262</v>
      </c>
      <c r="D12" s="49"/>
      <c r="E12" s="55" t="s">
        <v>263</v>
      </c>
      <c r="F12" s="51"/>
      <c r="G12" s="51"/>
      <c r="H12" s="55" t="s">
        <v>112</v>
      </c>
      <c r="I12" s="55" t="s">
        <v>113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>
      <c r="A13" s="31"/>
      <c r="B13" s="31"/>
      <c r="C13" s="50" t="s">
        <v>264</v>
      </c>
      <c r="D13" s="49"/>
      <c r="E13" s="55" t="s">
        <v>265</v>
      </c>
      <c r="F13" s="49"/>
      <c r="G13" s="49"/>
      <c r="H13" s="49"/>
      <c r="I13" s="49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>
      <c r="A14" s="32"/>
      <c r="B14" s="32"/>
      <c r="C14" s="50" t="s">
        <v>266</v>
      </c>
      <c r="D14" s="49"/>
      <c r="E14" s="55" t="s">
        <v>267</v>
      </c>
      <c r="F14" s="49"/>
      <c r="G14" s="49"/>
      <c r="H14" s="49"/>
      <c r="I14" s="49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>
      <c r="A15" s="52" t="s">
        <v>268</v>
      </c>
      <c r="B15" s="53" t="s">
        <v>116</v>
      </c>
      <c r="C15" s="50" t="s">
        <v>269</v>
      </c>
      <c r="D15" s="49"/>
      <c r="E15" s="55" t="s">
        <v>270</v>
      </c>
      <c r="F15" s="51"/>
      <c r="G15" s="49"/>
      <c r="H15" s="55" t="s">
        <v>118</v>
      </c>
      <c r="I15" s="55" t="s">
        <v>119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>
      <c r="A16" s="31"/>
      <c r="B16" s="31"/>
      <c r="C16" s="50" t="s">
        <v>271</v>
      </c>
      <c r="D16" s="49"/>
      <c r="E16" s="55" t="s">
        <v>272</v>
      </c>
      <c r="F16" s="49"/>
      <c r="G16" s="49"/>
      <c r="H16" s="49"/>
      <c r="I16" s="49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>
      <c r="A17" s="32"/>
      <c r="B17" s="32"/>
      <c r="C17" s="50" t="s">
        <v>273</v>
      </c>
      <c r="D17" s="49"/>
      <c r="E17" s="55" t="s">
        <v>274</v>
      </c>
      <c r="F17" s="49"/>
      <c r="G17" s="49"/>
      <c r="H17" s="49"/>
      <c r="I17" s="49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>
      <c r="A18" s="52" t="s">
        <v>275</v>
      </c>
      <c r="B18" s="53" t="s">
        <v>123</v>
      </c>
      <c r="C18" s="50" t="s">
        <v>276</v>
      </c>
      <c r="D18" s="49"/>
      <c r="E18" s="55" t="s">
        <v>277</v>
      </c>
      <c r="F18" s="51"/>
      <c r="G18" s="49"/>
      <c r="H18" s="55" t="s">
        <v>125</v>
      </c>
      <c r="I18" s="55" t="s">
        <v>126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>
      <c r="A19" s="31"/>
      <c r="B19" s="31"/>
      <c r="C19" s="50" t="s">
        <v>278</v>
      </c>
      <c r="D19" s="49"/>
      <c r="E19" s="55" t="s">
        <v>279</v>
      </c>
      <c r="F19" s="49"/>
      <c r="G19" s="49"/>
      <c r="H19" s="49"/>
      <c r="I19" s="49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>
      <c r="A20" s="32"/>
      <c r="B20" s="32"/>
      <c r="C20" s="50" t="s">
        <v>280</v>
      </c>
      <c r="D20" s="49"/>
      <c r="E20" s="55" t="s">
        <v>281</v>
      </c>
      <c r="F20" s="49"/>
      <c r="G20" s="49"/>
      <c r="H20" s="49"/>
      <c r="I20" s="49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>
      <c r="A21" s="52" t="s">
        <v>282</v>
      </c>
      <c r="B21" s="53" t="s">
        <v>130</v>
      </c>
      <c r="C21" s="50" t="s">
        <v>283</v>
      </c>
      <c r="D21" s="49"/>
      <c r="E21" s="55" t="s">
        <v>284</v>
      </c>
      <c r="F21" s="51"/>
      <c r="G21" s="51"/>
      <c r="H21" s="55" t="s">
        <v>132</v>
      </c>
      <c r="I21" s="55" t="s">
        <v>133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>
      <c r="A22" s="31"/>
      <c r="B22" s="31"/>
      <c r="C22" s="50" t="s">
        <v>285</v>
      </c>
      <c r="D22" s="49"/>
      <c r="E22" s="55" t="s">
        <v>286</v>
      </c>
      <c r="F22" s="49"/>
      <c r="G22" s="49"/>
      <c r="H22" s="49"/>
      <c r="I22" s="49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>
      <c r="A23" s="32"/>
      <c r="B23" s="32"/>
      <c r="C23" s="50" t="s">
        <v>287</v>
      </c>
      <c r="D23" s="49"/>
      <c r="E23" s="55" t="s">
        <v>288</v>
      </c>
      <c r="F23" s="49"/>
      <c r="G23" s="49"/>
      <c r="H23" s="49"/>
      <c r="I23" s="49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>
      <c r="A24" s="52" t="s">
        <v>289</v>
      </c>
      <c r="B24" s="53" t="s">
        <v>290</v>
      </c>
      <c r="C24" s="50" t="s">
        <v>291</v>
      </c>
      <c r="D24" s="49"/>
      <c r="E24" s="55" t="s">
        <v>292</v>
      </c>
      <c r="F24" s="55" t="s">
        <v>293</v>
      </c>
      <c r="G24" s="55" t="s">
        <v>294</v>
      </c>
      <c r="H24" s="55" t="s">
        <v>139</v>
      </c>
      <c r="I24" s="55" t="s">
        <v>140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>
      <c r="A25" s="31"/>
      <c r="B25" s="31"/>
      <c r="C25" s="50" t="s">
        <v>295</v>
      </c>
      <c r="D25" s="49"/>
      <c r="E25" s="55" t="s">
        <v>293</v>
      </c>
      <c r="F25" s="49"/>
      <c r="G25" s="49"/>
      <c r="H25" s="49"/>
      <c r="I25" s="49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>
      <c r="A26" s="32"/>
      <c r="B26" s="32"/>
      <c r="C26" s="50" t="s">
        <v>296</v>
      </c>
      <c r="D26" s="49"/>
      <c r="E26" s="55" t="s">
        <v>294</v>
      </c>
      <c r="F26" s="49"/>
      <c r="G26" s="49"/>
      <c r="H26" s="49"/>
      <c r="I26" s="49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>
      <c r="A27" s="52" t="s">
        <v>297</v>
      </c>
      <c r="B27" s="53" t="s">
        <v>144</v>
      </c>
      <c r="C27" s="50" t="s">
        <v>298</v>
      </c>
      <c r="D27" s="49"/>
      <c r="E27" s="55" t="s">
        <v>299</v>
      </c>
      <c r="F27" s="55" t="s">
        <v>300</v>
      </c>
      <c r="G27" s="55" t="s">
        <v>301</v>
      </c>
      <c r="H27" s="55" t="s">
        <v>146</v>
      </c>
      <c r="I27" s="55" t="s">
        <v>147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>
      <c r="A28" s="31"/>
      <c r="B28" s="31"/>
      <c r="C28" s="50" t="s">
        <v>302</v>
      </c>
      <c r="D28" s="49"/>
      <c r="E28" s="55" t="s">
        <v>300</v>
      </c>
      <c r="F28" s="49"/>
      <c r="G28" s="49"/>
      <c r="H28" s="49"/>
      <c r="I28" s="49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>
      <c r="A29" s="32"/>
      <c r="B29" s="32"/>
      <c r="C29" s="50" t="s">
        <v>303</v>
      </c>
      <c r="D29" s="49"/>
      <c r="E29" s="55" t="s">
        <v>301</v>
      </c>
      <c r="F29" s="49"/>
      <c r="G29" s="49"/>
      <c r="H29" s="49"/>
      <c r="I29" s="49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>
      <c r="A30" s="52" t="s">
        <v>304</v>
      </c>
      <c r="B30" s="53" t="s">
        <v>151</v>
      </c>
      <c r="C30" s="50" t="s">
        <v>305</v>
      </c>
      <c r="D30" s="49"/>
      <c r="E30" s="55" t="s">
        <v>306</v>
      </c>
      <c r="F30" s="55" t="s">
        <v>307</v>
      </c>
      <c r="G30" s="55" t="s">
        <v>308</v>
      </c>
      <c r="H30" s="55" t="s">
        <v>153</v>
      </c>
      <c r="I30" s="55" t="s">
        <v>154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>
      <c r="A31" s="31"/>
      <c r="B31" s="31"/>
      <c r="C31" s="50" t="s">
        <v>309</v>
      </c>
      <c r="D31" s="49"/>
      <c r="E31" s="55" t="s">
        <v>307</v>
      </c>
      <c r="F31" s="49"/>
      <c r="G31" s="49"/>
      <c r="H31" s="49"/>
      <c r="I31" s="49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>
      <c r="A32" s="32"/>
      <c r="B32" s="32"/>
      <c r="C32" s="50" t="s">
        <v>310</v>
      </c>
      <c r="D32" s="49"/>
      <c r="E32" s="55" t="s">
        <v>308</v>
      </c>
      <c r="F32" s="49"/>
      <c r="G32" s="49"/>
      <c r="H32" s="49"/>
      <c r="I32" s="49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>
      <c r="A33" s="52" t="s">
        <v>311</v>
      </c>
      <c r="B33" s="53" t="s">
        <v>158</v>
      </c>
      <c r="C33" s="50" t="s">
        <v>305</v>
      </c>
      <c r="D33" s="49"/>
      <c r="E33" s="55" t="s">
        <v>312</v>
      </c>
      <c r="F33" s="55" t="s">
        <v>313</v>
      </c>
      <c r="G33" s="55" t="s">
        <v>314</v>
      </c>
      <c r="H33" s="55" t="s">
        <v>160</v>
      </c>
      <c r="I33" s="55" t="s">
        <v>161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>
      <c r="A34" s="31"/>
      <c r="B34" s="31"/>
      <c r="C34" s="50" t="s">
        <v>309</v>
      </c>
      <c r="D34" s="49"/>
      <c r="E34" s="55" t="s">
        <v>313</v>
      </c>
      <c r="F34" s="49"/>
      <c r="G34" s="49"/>
      <c r="H34" s="49"/>
      <c r="I34" s="49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>
      <c r="A35" s="32"/>
      <c r="B35" s="32"/>
      <c r="C35" s="50" t="s">
        <v>310</v>
      </c>
      <c r="D35" s="49"/>
      <c r="E35" s="55" t="s">
        <v>314</v>
      </c>
      <c r="F35" s="49"/>
      <c r="G35" s="49"/>
      <c r="H35" s="49"/>
      <c r="I35" s="49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>
      <c r="A38" s="47" t="s">
        <v>10</v>
      </c>
      <c r="B38" s="57" t="s">
        <v>80</v>
      </c>
      <c r="C38" s="49"/>
      <c r="D38" s="49"/>
      <c r="E38" s="50" t="s">
        <v>87</v>
      </c>
      <c r="F38" s="50" t="s">
        <v>91</v>
      </c>
      <c r="G38" s="50" t="s">
        <v>93</v>
      </c>
      <c r="H38" s="50" t="s">
        <v>84</v>
      </c>
      <c r="I38" s="50" t="s">
        <v>85</v>
      </c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>
      <c r="A39" s="50" t="s">
        <v>315</v>
      </c>
      <c r="B39" s="55" t="s">
        <v>164</v>
      </c>
      <c r="C39" s="49"/>
      <c r="D39" s="49"/>
      <c r="E39" s="55" t="s">
        <v>165</v>
      </c>
      <c r="F39" s="55" t="s">
        <v>166</v>
      </c>
      <c r="G39" s="55" t="s">
        <v>167</v>
      </c>
      <c r="H39" s="55" t="s">
        <v>316</v>
      </c>
      <c r="I39" s="55" t="s">
        <v>317</v>
      </c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>
      <c r="A40" s="50" t="s">
        <v>318</v>
      </c>
      <c r="B40" s="55" t="s">
        <v>169</v>
      </c>
      <c r="C40" s="49"/>
      <c r="D40" s="49"/>
      <c r="E40" s="55" t="s">
        <v>170</v>
      </c>
      <c r="F40" s="55" t="s">
        <v>173</v>
      </c>
      <c r="G40" s="55" t="s">
        <v>174</v>
      </c>
      <c r="H40" s="55" t="s">
        <v>171</v>
      </c>
      <c r="I40" s="55" t="s">
        <v>172</v>
      </c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>
      <c r="A41" s="50" t="s">
        <v>319</v>
      </c>
      <c r="B41" s="55" t="s">
        <v>176</v>
      </c>
      <c r="C41" s="49"/>
      <c r="D41" s="49"/>
      <c r="E41" s="55" t="s">
        <v>177</v>
      </c>
      <c r="F41" s="55" t="s">
        <v>180</v>
      </c>
      <c r="G41" s="55" t="s">
        <v>181</v>
      </c>
      <c r="H41" s="55" t="s">
        <v>178</v>
      </c>
      <c r="I41" s="55" t="s">
        <v>179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>
      <c r="A42" s="50" t="s">
        <v>320</v>
      </c>
      <c r="B42" s="55" t="s">
        <v>183</v>
      </c>
      <c r="C42" s="49"/>
      <c r="D42" s="49"/>
      <c r="E42" s="55" t="s">
        <v>184</v>
      </c>
      <c r="F42" s="55" t="s">
        <v>187</v>
      </c>
      <c r="G42" s="55" t="s">
        <v>188</v>
      </c>
      <c r="H42" s="55" t="s">
        <v>185</v>
      </c>
      <c r="I42" s="55" t="s">
        <v>186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>
      <c r="A43" s="50" t="s">
        <v>321</v>
      </c>
      <c r="B43" s="55" t="s">
        <v>190</v>
      </c>
      <c r="C43" s="49"/>
      <c r="D43" s="49"/>
      <c r="E43" s="55" t="s">
        <v>191</v>
      </c>
      <c r="F43" s="55" t="s">
        <v>194</v>
      </c>
      <c r="G43" s="55" t="s">
        <v>195</v>
      </c>
      <c r="H43" s="55" t="s">
        <v>192</v>
      </c>
      <c r="I43" s="55" t="s">
        <v>193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>
      <c r="A44" s="50" t="s">
        <v>322</v>
      </c>
      <c r="B44" s="55" t="s">
        <v>197</v>
      </c>
      <c r="C44" s="49"/>
      <c r="D44" s="49"/>
      <c r="E44" s="55" t="s">
        <v>198</v>
      </c>
      <c r="F44" s="55" t="s">
        <v>201</v>
      </c>
      <c r="G44" s="55" t="s">
        <v>202</v>
      </c>
      <c r="H44" s="55" t="s">
        <v>199</v>
      </c>
      <c r="I44" s="55" t="s">
        <v>200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>
      <c r="A45" s="50" t="s">
        <v>323</v>
      </c>
      <c r="B45" s="55" t="s">
        <v>204</v>
      </c>
      <c r="C45" s="49"/>
      <c r="D45" s="49"/>
      <c r="E45" s="55" t="s">
        <v>205</v>
      </c>
      <c r="F45" s="55" t="s">
        <v>208</v>
      </c>
      <c r="G45" s="55" t="s">
        <v>209</v>
      </c>
      <c r="H45" s="55" t="s">
        <v>206</v>
      </c>
      <c r="I45" s="55" t="s">
        <v>207</v>
      </c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>
      <c r="A46" s="50" t="s">
        <v>324</v>
      </c>
      <c r="B46" s="55" t="s">
        <v>211</v>
      </c>
      <c r="C46" s="49"/>
      <c r="D46" s="49"/>
      <c r="E46" s="55" t="s">
        <v>212</v>
      </c>
      <c r="F46" s="55" t="s">
        <v>215</v>
      </c>
      <c r="G46" s="55" t="s">
        <v>216</v>
      </c>
      <c r="H46" s="55" t="s">
        <v>213</v>
      </c>
      <c r="I46" s="55" t="s">
        <v>214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>
      <c r="A47" s="50" t="s">
        <v>325</v>
      </c>
      <c r="B47" s="55" t="s">
        <v>218</v>
      </c>
      <c r="C47" s="49"/>
      <c r="D47" s="49"/>
      <c r="E47" s="55" t="s">
        <v>219</v>
      </c>
      <c r="F47" s="55" t="s">
        <v>222</v>
      </c>
      <c r="G47" s="55" t="s">
        <v>223</v>
      </c>
      <c r="H47" s="55" t="s">
        <v>220</v>
      </c>
      <c r="I47" s="55" t="s">
        <v>221</v>
      </c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>
      <c r="A48" s="50" t="s">
        <v>326</v>
      </c>
      <c r="B48" s="55" t="s">
        <v>225</v>
      </c>
      <c r="C48" s="49"/>
      <c r="D48" s="49"/>
      <c r="E48" s="55" t="s">
        <v>226</v>
      </c>
      <c r="F48" s="55" t="s">
        <v>229</v>
      </c>
      <c r="G48" s="55" t="s">
        <v>230</v>
      </c>
      <c r="H48" s="55" t="s">
        <v>227</v>
      </c>
      <c r="I48" s="55" t="s">
        <v>228</v>
      </c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>
      <c r="A49" s="50" t="s">
        <v>327</v>
      </c>
      <c r="B49" s="55" t="s">
        <v>232</v>
      </c>
      <c r="C49" s="49"/>
      <c r="D49" s="49"/>
      <c r="E49" s="55" t="s">
        <v>233</v>
      </c>
      <c r="F49" s="55" t="s">
        <v>236</v>
      </c>
      <c r="G49" s="55" t="s">
        <v>237</v>
      </c>
      <c r="H49" s="55" t="s">
        <v>234</v>
      </c>
      <c r="I49" s="55" t="s">
        <v>235</v>
      </c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>
      <c r="A50" s="58"/>
      <c r="B50" s="51"/>
      <c r="C50" s="51"/>
      <c r="D50" s="51"/>
      <c r="E50" s="51"/>
      <c r="F50" s="51"/>
      <c r="G50" s="51"/>
      <c r="H50" s="51"/>
      <c r="I50" s="51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>
      <c r="A51" s="59" t="s">
        <v>17</v>
      </c>
      <c r="B51" s="50" t="s">
        <v>80</v>
      </c>
      <c r="C51" s="49"/>
      <c r="D51" s="49"/>
      <c r="E51" s="50" t="s">
        <v>87</v>
      </c>
      <c r="F51" s="50" t="s">
        <v>91</v>
      </c>
      <c r="G51" s="50" t="s">
        <v>93</v>
      </c>
      <c r="H51" s="50" t="s">
        <v>84</v>
      </c>
      <c r="I51" s="50" t="s">
        <v>85</v>
      </c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>
      <c r="A52" s="55" t="s">
        <v>328</v>
      </c>
      <c r="B52" s="55" t="s">
        <v>329</v>
      </c>
      <c r="C52" s="49"/>
      <c r="D52" s="49"/>
      <c r="E52" s="55" t="s">
        <v>330</v>
      </c>
      <c r="F52" s="55" t="s">
        <v>331</v>
      </c>
      <c r="G52" s="55" t="s">
        <v>332</v>
      </c>
      <c r="H52" s="55" t="s">
        <v>333</v>
      </c>
      <c r="I52" s="55" t="s">
        <v>334</v>
      </c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>
      <c r="A53" s="55" t="s">
        <v>335</v>
      </c>
      <c r="B53" s="55" t="s">
        <v>336</v>
      </c>
      <c r="C53" s="49"/>
      <c r="D53" s="49"/>
      <c r="E53" s="55" t="s">
        <v>337</v>
      </c>
      <c r="F53" s="55" t="s">
        <v>338</v>
      </c>
      <c r="G53" s="55" t="s">
        <v>339</v>
      </c>
      <c r="H53" s="55" t="s">
        <v>340</v>
      </c>
      <c r="I53" s="55" t="s">
        <v>341</v>
      </c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>
      <c r="A54" s="55" t="s">
        <v>342</v>
      </c>
      <c r="B54" s="55" t="s">
        <v>343</v>
      </c>
      <c r="C54" s="49"/>
      <c r="D54" s="49"/>
      <c r="E54" s="55" t="s">
        <v>344</v>
      </c>
      <c r="F54" s="55" t="s">
        <v>345</v>
      </c>
      <c r="G54" s="55" t="s">
        <v>346</v>
      </c>
      <c r="H54" s="55" t="s">
        <v>347</v>
      </c>
      <c r="I54" s="55" t="s">
        <v>348</v>
      </c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>
      <c r="A55" s="55" t="s">
        <v>349</v>
      </c>
      <c r="B55" s="55" t="s">
        <v>350</v>
      </c>
      <c r="C55" s="49"/>
      <c r="D55" s="49"/>
      <c r="E55" s="55" t="s">
        <v>351</v>
      </c>
      <c r="F55" s="55" t="s">
        <v>352</v>
      </c>
      <c r="G55" s="55" t="s">
        <v>353</v>
      </c>
      <c r="H55" s="55" t="s">
        <v>354</v>
      </c>
      <c r="I55" s="55" t="s">
        <v>355</v>
      </c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>
      <c r="A56" s="55" t="s">
        <v>356</v>
      </c>
      <c r="B56" s="55" t="s">
        <v>357</v>
      </c>
      <c r="C56" s="49"/>
      <c r="D56" s="49"/>
      <c r="E56" s="55" t="s">
        <v>358</v>
      </c>
      <c r="F56" s="55" t="s">
        <v>359</v>
      </c>
      <c r="G56" s="55" t="s">
        <v>360</v>
      </c>
      <c r="H56" s="55" t="s">
        <v>361</v>
      </c>
      <c r="I56" s="55" t="s">
        <v>362</v>
      </c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>
      <c r="A57" s="55" t="s">
        <v>363</v>
      </c>
      <c r="B57" s="55" t="s">
        <v>364</v>
      </c>
      <c r="C57" s="49"/>
      <c r="D57" s="49"/>
      <c r="E57" s="55" t="s">
        <v>365</v>
      </c>
      <c r="F57" s="55" t="s">
        <v>366</v>
      </c>
      <c r="G57" s="55" t="s">
        <v>367</v>
      </c>
      <c r="H57" s="55" t="s">
        <v>368</v>
      </c>
      <c r="I57" s="55" t="s">
        <v>369</v>
      </c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>
      <c r="A58" s="55" t="s">
        <v>370</v>
      </c>
      <c r="B58" s="55" t="s">
        <v>371</v>
      </c>
      <c r="C58" s="49"/>
      <c r="D58" s="49"/>
      <c r="E58" s="55" t="s">
        <v>372</v>
      </c>
      <c r="F58" s="55" t="s">
        <v>373</v>
      </c>
      <c r="G58" s="55" t="s">
        <v>374</v>
      </c>
      <c r="H58" s="55" t="s">
        <v>375</v>
      </c>
      <c r="I58" s="55" t="s">
        <v>376</v>
      </c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>
      <c r="A59" s="55" t="s">
        <v>377</v>
      </c>
      <c r="B59" s="55" t="s">
        <v>378</v>
      </c>
      <c r="C59" s="49"/>
      <c r="D59" s="49"/>
      <c r="E59" s="55" t="s">
        <v>379</v>
      </c>
      <c r="F59" s="55" t="s">
        <v>380</v>
      </c>
      <c r="G59" s="55" t="s">
        <v>381</v>
      </c>
      <c r="H59" s="55" t="s">
        <v>382</v>
      </c>
      <c r="I59" s="55" t="s">
        <v>383</v>
      </c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>
      <c r="A60" s="55" t="s">
        <v>384</v>
      </c>
      <c r="B60" s="55" t="s">
        <v>385</v>
      </c>
      <c r="C60" s="49"/>
      <c r="D60" s="49"/>
      <c r="E60" s="55" t="s">
        <v>386</v>
      </c>
      <c r="F60" s="55" t="s">
        <v>387</v>
      </c>
      <c r="G60" s="55" t="s">
        <v>388</v>
      </c>
      <c r="H60" s="55" t="s">
        <v>389</v>
      </c>
      <c r="I60" s="55" t="s">
        <v>390</v>
      </c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>
      <c r="A61" s="55" t="s">
        <v>391</v>
      </c>
      <c r="B61" s="55" t="s">
        <v>392</v>
      </c>
      <c r="C61" s="49"/>
      <c r="D61" s="49"/>
      <c r="E61" s="55" t="s">
        <v>393</v>
      </c>
      <c r="F61" s="55" t="s">
        <v>394</v>
      </c>
      <c r="G61" s="55" t="s">
        <v>395</v>
      </c>
      <c r="H61" s="55" t="s">
        <v>396</v>
      </c>
      <c r="I61" s="55" t="s">
        <v>397</v>
      </c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>
      <c r="A63" s="59" t="s">
        <v>23</v>
      </c>
      <c r="B63" s="50" t="s">
        <v>80</v>
      </c>
      <c r="C63" s="49"/>
      <c r="D63" s="49"/>
      <c r="E63" s="50" t="s">
        <v>87</v>
      </c>
      <c r="F63" s="50" t="s">
        <v>91</v>
      </c>
      <c r="G63" s="50" t="s">
        <v>93</v>
      </c>
      <c r="H63" s="50" t="s">
        <v>84</v>
      </c>
      <c r="I63" s="50" t="s">
        <v>85</v>
      </c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>
      <c r="A64" s="50" t="s">
        <v>398</v>
      </c>
      <c r="B64" s="55" t="s">
        <v>399</v>
      </c>
      <c r="C64" s="49"/>
      <c r="D64" s="49"/>
      <c r="E64" s="55" t="s">
        <v>400</v>
      </c>
      <c r="F64" s="55" t="s">
        <v>401</v>
      </c>
      <c r="G64" s="55" t="s">
        <v>402</v>
      </c>
      <c r="H64" s="55" t="s">
        <v>403</v>
      </c>
      <c r="I64" s="55" t="s">
        <v>404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>
      <c r="A65" s="50" t="s">
        <v>405</v>
      </c>
      <c r="B65" s="55" t="s">
        <v>406</v>
      </c>
      <c r="C65" s="49"/>
      <c r="D65" s="49"/>
      <c r="E65" s="55" t="s">
        <v>407</v>
      </c>
      <c r="F65" s="55" t="s">
        <v>408</v>
      </c>
      <c r="G65" s="55" t="s">
        <v>409</v>
      </c>
      <c r="H65" s="55" t="s">
        <v>410</v>
      </c>
      <c r="I65" s="55" t="s">
        <v>411</v>
      </c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>
      <c r="A66" s="50" t="s">
        <v>412</v>
      </c>
      <c r="B66" s="55" t="s">
        <v>413</v>
      </c>
      <c r="C66" s="49"/>
      <c r="D66" s="49"/>
      <c r="E66" s="55" t="s">
        <v>414</v>
      </c>
      <c r="F66" s="55" t="s">
        <v>415</v>
      </c>
      <c r="G66" s="55" t="s">
        <v>416</v>
      </c>
      <c r="H66" s="55" t="s">
        <v>417</v>
      </c>
      <c r="I66" s="55" t="s">
        <v>418</v>
      </c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>
      <c r="A67" s="50" t="s">
        <v>419</v>
      </c>
      <c r="B67" s="55" t="s">
        <v>420</v>
      </c>
      <c r="C67" s="49"/>
      <c r="D67" s="49"/>
      <c r="E67" s="55" t="s">
        <v>421</v>
      </c>
      <c r="F67" s="55" t="s">
        <v>422</v>
      </c>
      <c r="G67" s="55" t="s">
        <v>423</v>
      </c>
      <c r="H67" s="55" t="s">
        <v>424</v>
      </c>
      <c r="I67" s="55" t="s">
        <v>425</v>
      </c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>
      <c r="A68" s="50" t="s">
        <v>426</v>
      </c>
      <c r="B68" s="55" t="s">
        <v>427</v>
      </c>
      <c r="C68" s="49"/>
      <c r="D68" s="49"/>
      <c r="E68" s="55" t="s">
        <v>428</v>
      </c>
      <c r="F68" s="55" t="s">
        <v>429</v>
      </c>
      <c r="G68" s="55" t="s">
        <v>430</v>
      </c>
      <c r="H68" s="55" t="s">
        <v>431</v>
      </c>
      <c r="I68" s="55" t="s">
        <v>432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>
      <c r="A69" s="50" t="s">
        <v>433</v>
      </c>
      <c r="B69" s="55" t="s">
        <v>434</v>
      </c>
      <c r="C69" s="49"/>
      <c r="D69" s="49"/>
      <c r="E69" s="55" t="s">
        <v>435</v>
      </c>
      <c r="F69" s="55" t="s">
        <v>436</v>
      </c>
      <c r="G69" s="55" t="s">
        <v>437</v>
      </c>
      <c r="H69" s="55" t="s">
        <v>438</v>
      </c>
      <c r="I69" s="55" t="s">
        <v>439</v>
      </c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>
      <c r="A70" s="50" t="s">
        <v>440</v>
      </c>
      <c r="B70" s="55" t="s">
        <v>441</v>
      </c>
      <c r="C70" s="49"/>
      <c r="D70" s="49"/>
      <c r="E70" s="55" t="s">
        <v>442</v>
      </c>
      <c r="F70" s="55" t="s">
        <v>443</v>
      </c>
      <c r="G70" s="55" t="s">
        <v>444</v>
      </c>
      <c r="H70" s="55" t="s">
        <v>445</v>
      </c>
      <c r="I70" s="55" t="s">
        <v>446</v>
      </c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>
      <c r="A71" s="58"/>
      <c r="B71" s="51"/>
      <c r="C71" s="51"/>
      <c r="D71" s="51"/>
      <c r="E71" s="51"/>
      <c r="F71" s="51"/>
      <c r="G71" s="51"/>
      <c r="H71" s="51"/>
      <c r="I71" s="51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>
      <c r="A72" s="47" t="s">
        <v>27</v>
      </c>
      <c r="B72" s="50" t="s">
        <v>80</v>
      </c>
      <c r="C72" s="49"/>
      <c r="D72" s="49"/>
      <c r="E72" s="50" t="s">
        <v>447</v>
      </c>
      <c r="F72" s="50" t="s">
        <v>448</v>
      </c>
      <c r="G72" s="50" t="s">
        <v>449</v>
      </c>
      <c r="H72" s="50" t="s">
        <v>84</v>
      </c>
      <c r="I72" s="50" t="s">
        <v>85</v>
      </c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>
      <c r="A73" s="50" t="s">
        <v>450</v>
      </c>
      <c r="B73" s="55" t="s">
        <v>451</v>
      </c>
      <c r="C73" s="49"/>
      <c r="D73" s="49"/>
      <c r="E73" s="55" t="s">
        <v>452</v>
      </c>
      <c r="F73" s="55" t="s">
        <v>453</v>
      </c>
      <c r="G73" s="55" t="s">
        <v>454</v>
      </c>
      <c r="H73" s="55" t="s">
        <v>455</v>
      </c>
      <c r="I73" s="55" t="s">
        <v>456</v>
      </c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>
      <c r="A74" s="50" t="s">
        <v>457</v>
      </c>
      <c r="B74" s="55" t="s">
        <v>458</v>
      </c>
      <c r="C74" s="49"/>
      <c r="D74" s="49"/>
      <c r="E74" s="55" t="s">
        <v>459</v>
      </c>
      <c r="F74" s="55" t="s">
        <v>460</v>
      </c>
      <c r="G74" s="55" t="s">
        <v>461</v>
      </c>
      <c r="H74" s="55" t="s">
        <v>462</v>
      </c>
      <c r="I74" s="55" t="s">
        <v>463</v>
      </c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>
      <c r="A75" s="50" t="s">
        <v>464</v>
      </c>
      <c r="B75" s="55" t="s">
        <v>465</v>
      </c>
      <c r="C75" s="49"/>
      <c r="D75" s="49"/>
      <c r="E75" s="55" t="s">
        <v>466</v>
      </c>
      <c r="F75" s="55" t="s">
        <v>467</v>
      </c>
      <c r="G75" s="55" t="s">
        <v>468</v>
      </c>
      <c r="H75" s="55" t="s">
        <v>469</v>
      </c>
      <c r="I75" s="55" t="s">
        <v>470</v>
      </c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>
      <c r="A76" s="50" t="s">
        <v>471</v>
      </c>
      <c r="B76" s="55" t="s">
        <v>472</v>
      </c>
      <c r="C76" s="49"/>
      <c r="D76" s="49"/>
      <c r="E76" s="55" t="s">
        <v>473</v>
      </c>
      <c r="F76" s="55" t="s">
        <v>474</v>
      </c>
      <c r="G76" s="55" t="s">
        <v>475</v>
      </c>
      <c r="H76" s="55" t="s">
        <v>476</v>
      </c>
      <c r="I76" s="55" t="s">
        <v>477</v>
      </c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>
      <c r="A77" s="50" t="s">
        <v>478</v>
      </c>
      <c r="B77" s="55" t="s">
        <v>479</v>
      </c>
      <c r="C77" s="49"/>
      <c r="D77" s="49"/>
      <c r="E77" s="55" t="s">
        <v>480</v>
      </c>
      <c r="F77" s="55" t="s">
        <v>481</v>
      </c>
      <c r="G77" s="55" t="s">
        <v>482</v>
      </c>
      <c r="H77" s="55" t="s">
        <v>483</v>
      </c>
      <c r="I77" s="55" t="s">
        <v>484</v>
      </c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>
      <c r="A78" s="50" t="s">
        <v>485</v>
      </c>
      <c r="B78" s="55" t="s">
        <v>486</v>
      </c>
      <c r="C78" s="49"/>
      <c r="D78" s="49"/>
      <c r="E78" s="55" t="s">
        <v>487</v>
      </c>
      <c r="F78" s="55" t="s">
        <v>488</v>
      </c>
      <c r="G78" s="55" t="s">
        <v>489</v>
      </c>
      <c r="H78" s="55" t="s">
        <v>490</v>
      </c>
      <c r="I78" s="55" t="s">
        <v>491</v>
      </c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>
      <c r="A79" s="50" t="s">
        <v>492</v>
      </c>
      <c r="B79" s="55" t="s">
        <v>493</v>
      </c>
      <c r="C79" s="49"/>
      <c r="D79" s="49"/>
      <c r="E79" s="55" t="s">
        <v>494</v>
      </c>
      <c r="F79" s="55" t="s">
        <v>495</v>
      </c>
      <c r="G79" s="55" t="s">
        <v>496</v>
      </c>
      <c r="H79" s="55" t="s">
        <v>497</v>
      </c>
      <c r="I79" s="55" t="s">
        <v>498</v>
      </c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>
      <c r="A80" s="46"/>
      <c r="B80" s="46"/>
      <c r="C80" s="46"/>
      <c r="D80" s="46"/>
      <c r="E80" s="46"/>
      <c r="F80" s="46"/>
      <c r="G80" s="46"/>
      <c r="H80" s="46"/>
      <c r="I80" s="46"/>
    </row>
    <row r="81">
      <c r="A81" s="46"/>
      <c r="B81" s="46"/>
      <c r="C81" s="46"/>
      <c r="D81" s="46"/>
      <c r="E81" s="46"/>
      <c r="F81" s="46"/>
      <c r="G81" s="46"/>
      <c r="H81" s="46"/>
      <c r="I81" s="46"/>
    </row>
    <row r="82">
      <c r="A82" s="60" t="s">
        <v>35</v>
      </c>
      <c r="B82" s="61" t="s">
        <v>80</v>
      </c>
      <c r="C82" s="62"/>
      <c r="D82" s="62"/>
      <c r="E82" s="61" t="s">
        <v>447</v>
      </c>
      <c r="F82" s="61" t="s">
        <v>448</v>
      </c>
      <c r="G82" s="61" t="s">
        <v>449</v>
      </c>
      <c r="H82" s="63" t="s">
        <v>84</v>
      </c>
      <c r="I82" s="61" t="s">
        <v>85</v>
      </c>
    </row>
    <row r="83">
      <c r="A83" s="61" t="s">
        <v>499</v>
      </c>
      <c r="B83" s="64" t="s">
        <v>500</v>
      </c>
      <c r="C83" s="62"/>
      <c r="D83" s="62"/>
      <c r="E83" s="64" t="s">
        <v>501</v>
      </c>
      <c r="F83" s="64" t="s">
        <v>502</v>
      </c>
      <c r="G83" s="64" t="s">
        <v>503</v>
      </c>
      <c r="H83" s="64" t="s">
        <v>504</v>
      </c>
      <c r="I83" s="64" t="s">
        <v>505</v>
      </c>
    </row>
    <row r="84">
      <c r="A84" s="61" t="s">
        <v>506</v>
      </c>
      <c r="B84" s="64" t="s">
        <v>507</v>
      </c>
      <c r="C84" s="62"/>
      <c r="D84" s="62"/>
      <c r="E84" s="64" t="s">
        <v>508</v>
      </c>
      <c r="F84" s="64" t="s">
        <v>509</v>
      </c>
      <c r="G84" s="64" t="s">
        <v>510</v>
      </c>
      <c r="H84" s="64" t="s">
        <v>511</v>
      </c>
      <c r="I84" s="64" t="s">
        <v>512</v>
      </c>
    </row>
    <row r="85">
      <c r="A85" s="61" t="s">
        <v>513</v>
      </c>
      <c r="B85" s="64" t="s">
        <v>514</v>
      </c>
      <c r="C85" s="62"/>
      <c r="D85" s="62"/>
      <c r="E85" s="64" t="s">
        <v>515</v>
      </c>
      <c r="F85" s="64" t="s">
        <v>516</v>
      </c>
      <c r="G85" s="64" t="s">
        <v>517</v>
      </c>
      <c r="H85" s="64" t="s">
        <v>518</v>
      </c>
      <c r="I85" s="64" t="s">
        <v>519</v>
      </c>
    </row>
    <row r="86">
      <c r="A86" s="61" t="s">
        <v>520</v>
      </c>
      <c r="B86" s="64" t="s">
        <v>521</v>
      </c>
      <c r="C86" s="62"/>
      <c r="D86" s="62"/>
      <c r="E86" s="64" t="s">
        <v>522</v>
      </c>
      <c r="F86" s="64" t="s">
        <v>523</v>
      </c>
      <c r="G86" s="64" t="s">
        <v>524</v>
      </c>
      <c r="H86" s="64" t="s">
        <v>525</v>
      </c>
      <c r="I86" s="64" t="s">
        <v>526</v>
      </c>
    </row>
    <row r="87">
      <c r="A87" s="61" t="s">
        <v>527</v>
      </c>
      <c r="B87" s="64" t="s">
        <v>528</v>
      </c>
      <c r="C87" s="62"/>
      <c r="D87" s="62"/>
      <c r="E87" s="64" t="s">
        <v>529</v>
      </c>
      <c r="F87" s="64" t="s">
        <v>530</v>
      </c>
      <c r="G87" s="64" t="s">
        <v>531</v>
      </c>
      <c r="H87" s="64" t="s">
        <v>532</v>
      </c>
      <c r="I87" s="64" t="s">
        <v>533</v>
      </c>
    </row>
    <row r="88">
      <c r="A88" s="61" t="s">
        <v>534</v>
      </c>
      <c r="B88" s="64" t="s">
        <v>535</v>
      </c>
      <c r="C88" s="62"/>
      <c r="D88" s="62"/>
      <c r="E88" s="64" t="s">
        <v>536</v>
      </c>
      <c r="F88" s="64" t="s">
        <v>537</v>
      </c>
      <c r="G88" s="64" t="s">
        <v>538</v>
      </c>
      <c r="H88" s="64" t="s">
        <v>539</v>
      </c>
      <c r="I88" s="64" t="s">
        <v>540</v>
      </c>
    </row>
    <row r="89">
      <c r="A89" s="61" t="s">
        <v>541</v>
      </c>
      <c r="B89" s="64" t="s">
        <v>542</v>
      </c>
      <c r="C89" s="62"/>
      <c r="D89" s="62"/>
      <c r="E89" s="64" t="s">
        <v>543</v>
      </c>
      <c r="F89" s="64" t="s">
        <v>544</v>
      </c>
      <c r="G89" s="64" t="s">
        <v>545</v>
      </c>
      <c r="H89" s="64" t="s">
        <v>546</v>
      </c>
      <c r="I89" s="64" t="s">
        <v>547</v>
      </c>
    </row>
    <row r="90">
      <c r="A90" s="61" t="s">
        <v>548</v>
      </c>
      <c r="B90" s="64" t="s">
        <v>549</v>
      </c>
      <c r="C90" s="62"/>
      <c r="D90" s="62"/>
      <c r="E90" s="64" t="s">
        <v>550</v>
      </c>
      <c r="F90" s="64" t="s">
        <v>551</v>
      </c>
      <c r="G90" s="64" t="s">
        <v>552</v>
      </c>
      <c r="H90" s="64" t="s">
        <v>553</v>
      </c>
      <c r="I90" s="64" t="s">
        <v>554</v>
      </c>
    </row>
    <row r="91">
      <c r="A91" s="61" t="s">
        <v>555</v>
      </c>
      <c r="B91" s="64" t="s">
        <v>556</v>
      </c>
      <c r="C91" s="62"/>
      <c r="D91" s="62"/>
      <c r="E91" s="64" t="s">
        <v>557</v>
      </c>
      <c r="F91" s="64" t="s">
        <v>558</v>
      </c>
      <c r="G91" s="64" t="s">
        <v>559</v>
      </c>
      <c r="H91" s="64" t="s">
        <v>560</v>
      </c>
      <c r="I91" s="64" t="s">
        <v>561</v>
      </c>
    </row>
    <row r="92">
      <c r="A92" s="61" t="s">
        <v>562</v>
      </c>
      <c r="B92" s="64" t="s">
        <v>563</v>
      </c>
      <c r="C92" s="62"/>
      <c r="D92" s="62"/>
      <c r="E92" s="64" t="s">
        <v>564</v>
      </c>
      <c r="F92" s="64" t="s">
        <v>565</v>
      </c>
      <c r="G92" s="64" t="s">
        <v>566</v>
      </c>
      <c r="H92" s="64" t="s">
        <v>567</v>
      </c>
      <c r="I92" s="64" t="s">
        <v>568</v>
      </c>
    </row>
    <row r="93">
      <c r="A93" s="61" t="s">
        <v>569</v>
      </c>
      <c r="B93" s="64" t="s">
        <v>570</v>
      </c>
      <c r="C93" s="62"/>
      <c r="D93" s="62"/>
      <c r="E93" s="64" t="s">
        <v>571</v>
      </c>
      <c r="F93" s="64" t="s">
        <v>572</v>
      </c>
      <c r="G93" s="64" t="s">
        <v>573</v>
      </c>
      <c r="H93" s="64" t="s">
        <v>574</v>
      </c>
      <c r="I93" s="64" t="s">
        <v>575</v>
      </c>
    </row>
    <row r="94">
      <c r="A94" s="46"/>
      <c r="B94" s="46"/>
      <c r="C94" s="46"/>
      <c r="D94" s="46"/>
      <c r="E94" s="46"/>
      <c r="F94" s="46"/>
      <c r="G94" s="46"/>
      <c r="H94" s="46"/>
      <c r="I94" s="46"/>
    </row>
    <row r="95">
      <c r="A95" s="46"/>
      <c r="B95" s="46"/>
      <c r="C95" s="46"/>
      <c r="D95" s="46"/>
      <c r="E95" s="46"/>
      <c r="F95" s="46"/>
      <c r="G95" s="46"/>
      <c r="H95" s="46"/>
      <c r="I95" s="46"/>
    </row>
    <row r="96">
      <c r="A96" s="60" t="s">
        <v>576</v>
      </c>
      <c r="B96" s="63" t="s">
        <v>80</v>
      </c>
      <c r="C96" s="62"/>
      <c r="D96" s="62"/>
      <c r="E96" s="61" t="s">
        <v>447</v>
      </c>
      <c r="F96" s="61" t="s">
        <v>448</v>
      </c>
      <c r="G96" s="61" t="s">
        <v>449</v>
      </c>
      <c r="H96" s="63" t="s">
        <v>84</v>
      </c>
      <c r="I96" s="63" t="s">
        <v>577</v>
      </c>
    </row>
    <row r="97">
      <c r="A97" s="61" t="s">
        <v>578</v>
      </c>
      <c r="B97" s="64" t="s">
        <v>579</v>
      </c>
      <c r="C97" s="62"/>
      <c r="D97" s="62"/>
      <c r="E97" s="64" t="s">
        <v>580</v>
      </c>
      <c r="F97" s="64" t="s">
        <v>581</v>
      </c>
      <c r="G97" s="64" t="s">
        <v>582</v>
      </c>
      <c r="H97" s="64" t="s">
        <v>583</v>
      </c>
      <c r="I97" s="64" t="s">
        <v>584</v>
      </c>
    </row>
    <row r="98">
      <c r="A98" s="61" t="s">
        <v>585</v>
      </c>
      <c r="B98" s="64" t="s">
        <v>586</v>
      </c>
      <c r="C98" s="62"/>
      <c r="D98" s="62"/>
      <c r="E98" s="64" t="s">
        <v>587</v>
      </c>
      <c r="F98" s="64" t="s">
        <v>588</v>
      </c>
      <c r="G98" s="64" t="s">
        <v>589</v>
      </c>
      <c r="H98" s="64" t="s">
        <v>590</v>
      </c>
      <c r="I98" s="64" t="s">
        <v>591</v>
      </c>
    </row>
    <row r="99">
      <c r="A99" s="61" t="s">
        <v>592</v>
      </c>
      <c r="B99" s="64" t="s">
        <v>593</v>
      </c>
      <c r="C99" s="62"/>
      <c r="D99" s="62"/>
      <c r="E99" s="64" t="s">
        <v>594</v>
      </c>
      <c r="F99" s="64" t="s">
        <v>595</v>
      </c>
      <c r="G99" s="64" t="s">
        <v>596</v>
      </c>
      <c r="H99" s="64" t="s">
        <v>597</v>
      </c>
      <c r="I99" s="64" t="s">
        <v>598</v>
      </c>
    </row>
    <row r="100">
      <c r="A100" s="61" t="s">
        <v>599</v>
      </c>
      <c r="B100" s="64" t="s">
        <v>600</v>
      </c>
      <c r="C100" s="62"/>
      <c r="D100" s="62"/>
      <c r="E100" s="64" t="s">
        <v>601</v>
      </c>
      <c r="F100" s="64" t="s">
        <v>602</v>
      </c>
      <c r="G100" s="64" t="s">
        <v>603</v>
      </c>
      <c r="H100" s="64" t="s">
        <v>604</v>
      </c>
      <c r="I100" s="64" t="s">
        <v>605</v>
      </c>
    </row>
    <row r="101">
      <c r="A101" s="61" t="s">
        <v>606</v>
      </c>
      <c r="B101" s="64" t="s">
        <v>607</v>
      </c>
      <c r="C101" s="62"/>
      <c r="D101" s="62"/>
      <c r="E101" s="64" t="s">
        <v>608</v>
      </c>
      <c r="F101" s="64" t="s">
        <v>609</v>
      </c>
      <c r="G101" s="64" t="s">
        <v>610</v>
      </c>
      <c r="H101" s="64" t="s">
        <v>611</v>
      </c>
      <c r="I101" s="64" t="s">
        <v>612</v>
      </c>
    </row>
    <row r="102">
      <c r="A102" s="61" t="s">
        <v>613</v>
      </c>
      <c r="B102" s="64" t="s">
        <v>614</v>
      </c>
      <c r="C102" s="62"/>
      <c r="D102" s="62"/>
      <c r="E102" s="64" t="s">
        <v>615</v>
      </c>
      <c r="F102" s="64" t="s">
        <v>616</v>
      </c>
      <c r="G102" s="64" t="s">
        <v>617</v>
      </c>
      <c r="H102" s="64" t="s">
        <v>618</v>
      </c>
      <c r="I102" s="64" t="s">
        <v>619</v>
      </c>
    </row>
    <row r="103">
      <c r="A103" s="61" t="s">
        <v>620</v>
      </c>
      <c r="B103" s="64" t="s">
        <v>621</v>
      </c>
      <c r="C103" s="62"/>
      <c r="D103" s="62"/>
      <c r="E103" s="64" t="s">
        <v>622</v>
      </c>
      <c r="F103" s="64" t="s">
        <v>623</v>
      </c>
      <c r="G103" s="64" t="s">
        <v>624</v>
      </c>
      <c r="H103" s="64" t="s">
        <v>625</v>
      </c>
      <c r="I103" s="64" t="s">
        <v>626</v>
      </c>
    </row>
    <row r="104">
      <c r="A104" s="61" t="s">
        <v>627</v>
      </c>
      <c r="B104" s="64" t="s">
        <v>628</v>
      </c>
      <c r="C104" s="62"/>
      <c r="D104" s="62"/>
      <c r="E104" s="64" t="s">
        <v>629</v>
      </c>
      <c r="F104" s="64" t="s">
        <v>630</v>
      </c>
      <c r="G104" s="64" t="s">
        <v>631</v>
      </c>
      <c r="H104" s="64" t="s">
        <v>632</v>
      </c>
      <c r="I104" s="64" t="s">
        <v>633</v>
      </c>
    </row>
    <row r="105">
      <c r="A105" s="61" t="s">
        <v>634</v>
      </c>
      <c r="B105" s="64" t="s">
        <v>635</v>
      </c>
      <c r="C105" s="62"/>
      <c r="D105" s="62"/>
      <c r="E105" s="64" t="s">
        <v>636</v>
      </c>
      <c r="F105" s="64" t="s">
        <v>637</v>
      </c>
      <c r="G105" s="64" t="s">
        <v>638</v>
      </c>
      <c r="H105" s="64" t="s">
        <v>639</v>
      </c>
      <c r="I105" s="64" t="s">
        <v>640</v>
      </c>
    </row>
    <row r="106">
      <c r="A106" s="61" t="s">
        <v>641</v>
      </c>
      <c r="B106" s="64" t="s">
        <v>642</v>
      </c>
      <c r="C106" s="62"/>
      <c r="D106" s="62"/>
      <c r="E106" s="64" t="s">
        <v>643</v>
      </c>
      <c r="F106" s="64" t="s">
        <v>644</v>
      </c>
      <c r="G106" s="64" t="s">
        <v>645</v>
      </c>
      <c r="H106" s="64" t="s">
        <v>646</v>
      </c>
      <c r="I106" s="64" t="s">
        <v>647</v>
      </c>
    </row>
    <row r="107">
      <c r="A107" s="46"/>
      <c r="B107" s="46"/>
      <c r="C107" s="46"/>
      <c r="D107" s="46"/>
      <c r="E107" s="46"/>
      <c r="F107" s="46"/>
      <c r="G107" s="46"/>
      <c r="H107" s="46"/>
      <c r="I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</row>
  </sheetData>
  <mergeCells count="24">
    <mergeCell ref="A3:A5"/>
    <mergeCell ref="B3:B5"/>
    <mergeCell ref="D3:D5"/>
    <mergeCell ref="A6:A8"/>
    <mergeCell ref="B6:B8"/>
    <mergeCell ref="D6:D8"/>
    <mergeCell ref="B9:B11"/>
    <mergeCell ref="A9:A11"/>
    <mergeCell ref="A12:A14"/>
    <mergeCell ref="B12:B14"/>
    <mergeCell ref="A15:A17"/>
    <mergeCell ref="B15:B17"/>
    <mergeCell ref="A18:A20"/>
    <mergeCell ref="B18:B20"/>
    <mergeCell ref="A30:A32"/>
    <mergeCell ref="A33:A35"/>
    <mergeCell ref="A21:A23"/>
    <mergeCell ref="B21:B23"/>
    <mergeCell ref="A24:A26"/>
    <mergeCell ref="B24:B26"/>
    <mergeCell ref="A27:A29"/>
    <mergeCell ref="B27:B29"/>
    <mergeCell ref="B30:B32"/>
    <mergeCell ref="B33:B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57"/>
    <col customWidth="1" min="3" max="3" width="17.71"/>
  </cols>
  <sheetData>
    <row r="1">
      <c r="A1" s="66" t="s">
        <v>648</v>
      </c>
      <c r="B1" s="67" t="s">
        <v>649</v>
      </c>
      <c r="C1" s="67" t="s">
        <v>66</v>
      </c>
      <c r="D1" s="67" t="s">
        <v>239</v>
      </c>
    </row>
    <row r="2">
      <c r="A2" s="68">
        <v>1.0</v>
      </c>
      <c r="B2" s="69" t="str">
        <f t="array" ref="B2">INDEX(ALL_SCORES!B:B, MATCH(1, ALL_SCORES!D:D, 0))</f>
        <v>Повторяемость процесса</v>
      </c>
      <c r="C2" s="69" t="str">
        <f t="array" ref="C2">INDEX(ALL_SCORES!A:A, MATCH(1, ALL_SCORES!D:D, 0))</f>
        <v>Operations</v>
      </c>
      <c r="D2" s="68">
        <f t="array" ref="D2">INDEX(ALL_SCORES!C:C, MATCH(1, ALL_SCORES!D:D, 0))</f>
        <v>1</v>
      </c>
    </row>
    <row r="3">
      <c r="A3" s="68">
        <v>2.0</v>
      </c>
      <c r="B3" s="69" t="str">
        <f t="array" ref="B3">INDEX(ALL_SCORES!B:B, MATCH(2, ALL_SCORES!D:D, 0))</f>
        <v>Риски при масштабировании / для партнёров</v>
      </c>
      <c r="C3" s="69" t="str">
        <f t="array" ref="C3">INDEX(ALL_SCORES!A:A, MATCH(2, ALL_SCORES!D:D, 0))</f>
        <v>Operations</v>
      </c>
      <c r="D3" s="68">
        <f t="array" ref="D3">INDEX(ALL_SCORES!C:C, MATCH(2, ALL_SCORES!D:D, 0))</f>
        <v>1</v>
      </c>
    </row>
    <row r="4">
      <c r="A4" s="68">
        <v>3.0</v>
      </c>
      <c r="B4" s="69" t="str">
        <f t="array" ref="B4">INDEX(ALL_SCORES!B:B, MATCH(3, ALL_SCORES!D:D, 0))</f>
        <v>Метрики результата команды</v>
      </c>
      <c r="C4" s="69" t="str">
        <f t="array" ref="C4">INDEX(ALL_SCORES!A:A, MATCH(3, ALL_SCORES!D:D, 0))</f>
        <v>Operations</v>
      </c>
      <c r="D4" s="68">
        <f t="array" ref="D4">INDEX(ALL_SCORES!C:C, MATCH(3, ALL_SCORES!D:D, 0))</f>
        <v>1</v>
      </c>
    </row>
    <row r="5">
      <c r="A5" s="68">
        <v>4.0</v>
      </c>
      <c r="B5" s="69" t="str">
        <f t="array" ref="B5">INDEX(ALL_SCORES!B:B, MATCH(4, ALL_SCORES!D:D, 0))</f>
        <v>Предсказуемость результата</v>
      </c>
      <c r="C5" s="69" t="str">
        <f t="array" ref="C5">INDEX(ALL_SCORES!A:A, MATCH(4, ALL_SCORES!D:D, 0))</f>
        <v>Operations</v>
      </c>
      <c r="D5" s="68">
        <f t="array" ref="D5">INDEX(ALL_SCORES!C:C, MATCH(4, ALL_SCORES!D:D, 0))</f>
        <v>1</v>
      </c>
    </row>
    <row r="6">
      <c r="A6" s="68">
        <v>5.0</v>
      </c>
      <c r="B6" s="69" t="str">
        <f t="array" ref="B6">INDEX(ALL_SCORES!B:B, MATCH(5, ALL_SCORES!D:D, 0))</f>
        <v>Доказательства результата</v>
      </c>
      <c r="C6" s="69" t="str">
        <f t="array" ref="C6">INDEX(ALL_SCORES!A:A, MATCH(5, ALL_SCORES!D:D, 0))</f>
        <v>Trust &amp; Positioning</v>
      </c>
      <c r="D6" s="68">
        <f t="array" ref="D6">INDEX(ALL_SCORES!C:C, MATCH(5, ALL_SCORES!D:D, 0))</f>
        <v>2</v>
      </c>
    </row>
    <row r="7">
      <c r="A7" s="42"/>
    </row>
    <row r="8">
      <c r="A8" s="42"/>
    </row>
    <row r="9">
      <c r="A9" s="42"/>
    </row>
    <row r="10">
      <c r="A10" s="42"/>
    </row>
    <row r="11">
      <c r="A11" s="42"/>
    </row>
    <row r="12">
      <c r="A12" s="42"/>
    </row>
    <row r="13">
      <c r="A13" s="42"/>
    </row>
    <row r="14">
      <c r="A14" s="42"/>
    </row>
    <row r="15">
      <c r="A15" s="42"/>
    </row>
    <row r="16">
      <c r="A16" s="42"/>
    </row>
    <row r="17">
      <c r="A17" s="42"/>
    </row>
    <row r="18">
      <c r="A18" s="42"/>
    </row>
    <row r="19">
      <c r="A19" s="42"/>
    </row>
    <row r="20">
      <c r="A20" s="42"/>
    </row>
    <row r="21">
      <c r="A21" s="42"/>
    </row>
    <row r="22">
      <c r="A22" s="42"/>
    </row>
    <row r="23">
      <c r="A23" s="42"/>
    </row>
    <row r="24">
      <c r="A24" s="42"/>
    </row>
    <row r="25">
      <c r="A25" s="42"/>
    </row>
    <row r="26">
      <c r="A26" s="42"/>
    </row>
    <row r="27">
      <c r="A27" s="42"/>
    </row>
    <row r="28">
      <c r="A28" s="42"/>
    </row>
    <row r="29">
      <c r="A29" s="42"/>
    </row>
    <row r="30">
      <c r="A30" s="42"/>
    </row>
    <row r="31">
      <c r="A31" s="42"/>
    </row>
    <row r="32">
      <c r="A32" s="42"/>
    </row>
    <row r="33">
      <c r="A33" s="42"/>
    </row>
    <row r="34">
      <c r="A34" s="42"/>
    </row>
    <row r="35">
      <c r="A35" s="42"/>
    </row>
    <row r="36">
      <c r="A36" s="42"/>
    </row>
    <row r="37">
      <c r="A37" s="42"/>
    </row>
    <row r="38">
      <c r="A38" s="42"/>
    </row>
    <row r="39">
      <c r="A39" s="42"/>
    </row>
    <row r="40">
      <c r="A40" s="42"/>
    </row>
    <row r="41">
      <c r="A41" s="42"/>
    </row>
    <row r="42">
      <c r="A42" s="42"/>
    </row>
    <row r="43">
      <c r="A43" s="42"/>
    </row>
    <row r="44">
      <c r="A44" s="42"/>
    </row>
    <row r="45">
      <c r="A45" s="42"/>
    </row>
    <row r="46">
      <c r="A46" s="42"/>
    </row>
    <row r="47">
      <c r="A47" s="42"/>
    </row>
    <row r="48">
      <c r="A48" s="42"/>
    </row>
    <row r="49">
      <c r="A49" s="42"/>
    </row>
    <row r="50">
      <c r="A50" s="42"/>
    </row>
    <row r="51">
      <c r="A51" s="42"/>
    </row>
    <row r="52">
      <c r="A52" s="42"/>
    </row>
    <row r="53">
      <c r="A53" s="42"/>
    </row>
    <row r="54">
      <c r="A54" s="42"/>
    </row>
    <row r="55">
      <c r="A55" s="42"/>
    </row>
    <row r="56">
      <c r="A56" s="42"/>
    </row>
    <row r="57">
      <c r="A57" s="42"/>
    </row>
    <row r="58">
      <c r="A58" s="42"/>
    </row>
    <row r="59">
      <c r="A59" s="42"/>
    </row>
    <row r="60">
      <c r="A60" s="42"/>
    </row>
    <row r="61">
      <c r="A61" s="42"/>
    </row>
    <row r="62">
      <c r="A62" s="42"/>
    </row>
    <row r="63">
      <c r="A63" s="42"/>
    </row>
    <row r="64">
      <c r="A64" s="42"/>
    </row>
    <row r="65">
      <c r="A65" s="42"/>
    </row>
    <row r="66">
      <c r="A66" s="42"/>
    </row>
    <row r="67">
      <c r="A67" s="42"/>
    </row>
    <row r="68">
      <c r="A68" s="42"/>
    </row>
    <row r="69">
      <c r="A69" s="42"/>
    </row>
    <row r="70">
      <c r="A70" s="42"/>
    </row>
    <row r="71">
      <c r="A71" s="42"/>
    </row>
    <row r="72">
      <c r="A72" s="42"/>
    </row>
    <row r="73">
      <c r="A73" s="42"/>
    </row>
    <row r="74">
      <c r="A74" s="42"/>
    </row>
    <row r="75">
      <c r="A75" s="42"/>
    </row>
    <row r="76">
      <c r="A76" s="42"/>
    </row>
    <row r="77">
      <c r="A77" s="42"/>
    </row>
    <row r="78">
      <c r="A78" s="42"/>
    </row>
    <row r="79">
      <c r="A79" s="42"/>
    </row>
    <row r="80">
      <c r="A80" s="42"/>
    </row>
    <row r="81">
      <c r="A81" s="42"/>
    </row>
    <row r="82">
      <c r="A82" s="42"/>
    </row>
    <row r="83">
      <c r="A83" s="42"/>
    </row>
    <row r="84">
      <c r="A84" s="42"/>
    </row>
    <row r="85">
      <c r="A85" s="42"/>
    </row>
    <row r="86">
      <c r="A86" s="42"/>
    </row>
    <row r="87">
      <c r="A87" s="42"/>
    </row>
    <row r="88">
      <c r="A88" s="42"/>
    </row>
    <row r="89">
      <c r="A89" s="42"/>
    </row>
    <row r="90">
      <c r="A90" s="42"/>
    </row>
    <row r="91">
      <c r="A91" s="42"/>
    </row>
    <row r="92">
      <c r="A92" s="42"/>
    </row>
    <row r="93">
      <c r="A93" s="42"/>
    </row>
    <row r="94">
      <c r="A94" s="42"/>
    </row>
    <row r="95">
      <c r="A95" s="42"/>
    </row>
    <row r="96">
      <c r="A96" s="42"/>
    </row>
    <row r="97">
      <c r="A97" s="42"/>
    </row>
    <row r="98">
      <c r="A98" s="42"/>
    </row>
    <row r="99">
      <c r="A99" s="42"/>
    </row>
    <row r="100">
      <c r="A100" s="42"/>
    </row>
    <row r="101">
      <c r="A101" s="42"/>
    </row>
    <row r="102">
      <c r="A102" s="42"/>
    </row>
    <row r="103">
      <c r="A103" s="42"/>
    </row>
    <row r="104">
      <c r="A104" s="42"/>
    </row>
    <row r="105">
      <c r="A105" s="42"/>
    </row>
    <row r="106">
      <c r="A106" s="42"/>
    </row>
    <row r="107">
      <c r="A107" s="42"/>
    </row>
    <row r="108">
      <c r="A108" s="42"/>
    </row>
    <row r="109">
      <c r="A109" s="42"/>
    </row>
    <row r="110">
      <c r="A110" s="42"/>
    </row>
    <row r="111">
      <c r="A111" s="42"/>
    </row>
    <row r="112">
      <c r="A112" s="42"/>
    </row>
    <row r="113">
      <c r="A113" s="42"/>
    </row>
    <row r="114">
      <c r="A114" s="42"/>
    </row>
    <row r="115">
      <c r="A115" s="42"/>
    </row>
    <row r="116">
      <c r="A116" s="42"/>
    </row>
    <row r="117">
      <c r="A117" s="42"/>
    </row>
    <row r="118">
      <c r="A118" s="42"/>
    </row>
    <row r="119">
      <c r="A119" s="42"/>
    </row>
    <row r="120">
      <c r="A120" s="42"/>
    </row>
    <row r="121">
      <c r="A121" s="42"/>
    </row>
    <row r="122">
      <c r="A122" s="42"/>
    </row>
    <row r="123">
      <c r="A123" s="42"/>
    </row>
    <row r="124">
      <c r="A124" s="42"/>
    </row>
    <row r="125">
      <c r="A125" s="42"/>
    </row>
    <row r="126">
      <c r="A126" s="42"/>
    </row>
    <row r="127">
      <c r="A127" s="42"/>
    </row>
    <row r="128">
      <c r="A128" s="42"/>
    </row>
    <row r="129">
      <c r="A129" s="42"/>
    </row>
    <row r="130">
      <c r="A130" s="42"/>
    </row>
    <row r="131">
      <c r="A131" s="42"/>
    </row>
    <row r="132">
      <c r="A132" s="42"/>
    </row>
    <row r="133">
      <c r="A133" s="42"/>
    </row>
    <row r="134">
      <c r="A134" s="42"/>
    </row>
    <row r="135">
      <c r="A135" s="42"/>
    </row>
    <row r="136">
      <c r="A136" s="42"/>
    </row>
    <row r="137">
      <c r="A137" s="42"/>
    </row>
    <row r="138">
      <c r="A138" s="42"/>
    </row>
    <row r="139">
      <c r="A139" s="42"/>
    </row>
    <row r="140">
      <c r="A140" s="42"/>
    </row>
    <row r="141">
      <c r="A141" s="42"/>
    </row>
    <row r="142">
      <c r="A142" s="42"/>
    </row>
    <row r="143">
      <c r="A143" s="42"/>
    </row>
    <row r="144">
      <c r="A144" s="42"/>
    </row>
    <row r="145">
      <c r="A145" s="42"/>
    </row>
    <row r="146">
      <c r="A146" s="42"/>
    </row>
    <row r="147">
      <c r="A147" s="42"/>
    </row>
    <row r="148">
      <c r="A148" s="42"/>
    </row>
    <row r="149">
      <c r="A149" s="42"/>
    </row>
    <row r="150">
      <c r="A150" s="42"/>
    </row>
    <row r="151">
      <c r="A151" s="42"/>
    </row>
    <row r="152">
      <c r="A152" s="42"/>
    </row>
    <row r="153">
      <c r="A153" s="42"/>
    </row>
    <row r="154">
      <c r="A154" s="42"/>
    </row>
    <row r="155">
      <c r="A155" s="42"/>
    </row>
    <row r="156">
      <c r="A156" s="42"/>
    </row>
    <row r="157">
      <c r="A157" s="42"/>
    </row>
    <row r="158">
      <c r="A158" s="42"/>
    </row>
    <row r="159">
      <c r="A159" s="42"/>
    </row>
    <row r="160">
      <c r="A160" s="42"/>
    </row>
    <row r="161">
      <c r="A161" s="42"/>
    </row>
    <row r="162">
      <c r="A162" s="42"/>
    </row>
    <row r="163">
      <c r="A163" s="42"/>
    </row>
    <row r="164">
      <c r="A164" s="42"/>
    </row>
    <row r="165">
      <c r="A165" s="42"/>
    </row>
    <row r="166">
      <c r="A166" s="42"/>
    </row>
    <row r="167">
      <c r="A167" s="42"/>
    </row>
    <row r="168">
      <c r="A168" s="42"/>
    </row>
    <row r="169">
      <c r="A169" s="42"/>
    </row>
    <row r="170">
      <c r="A170" s="42"/>
    </row>
    <row r="171">
      <c r="A171" s="42"/>
    </row>
    <row r="172">
      <c r="A172" s="42"/>
    </row>
    <row r="173">
      <c r="A173" s="42"/>
    </row>
    <row r="174">
      <c r="A174" s="42"/>
    </row>
    <row r="175">
      <c r="A175" s="42"/>
    </row>
    <row r="176">
      <c r="A176" s="42"/>
    </row>
    <row r="177">
      <c r="A177" s="42"/>
    </row>
    <row r="178">
      <c r="A178" s="42"/>
    </row>
    <row r="179">
      <c r="A179" s="42"/>
    </row>
    <row r="180">
      <c r="A180" s="42"/>
    </row>
    <row r="181">
      <c r="A181" s="42"/>
    </row>
    <row r="182">
      <c r="A182" s="42"/>
    </row>
    <row r="183">
      <c r="A183" s="42"/>
    </row>
    <row r="184">
      <c r="A184" s="42"/>
    </row>
    <row r="185">
      <c r="A185" s="42"/>
    </row>
    <row r="186">
      <c r="A186" s="42"/>
    </row>
    <row r="187">
      <c r="A187" s="42"/>
    </row>
    <row r="188">
      <c r="A188" s="42"/>
    </row>
    <row r="189">
      <c r="A189" s="42"/>
    </row>
    <row r="190">
      <c r="A190" s="42"/>
    </row>
    <row r="191">
      <c r="A191" s="42"/>
    </row>
    <row r="192">
      <c r="A192" s="42"/>
    </row>
    <row r="193">
      <c r="A193" s="42"/>
    </row>
    <row r="194">
      <c r="A194" s="42"/>
    </row>
    <row r="195">
      <c r="A195" s="42"/>
    </row>
    <row r="196">
      <c r="A196" s="42"/>
    </row>
    <row r="197">
      <c r="A197" s="42"/>
    </row>
    <row r="198">
      <c r="A198" s="42"/>
    </row>
    <row r="199">
      <c r="A199" s="42"/>
    </row>
    <row r="200">
      <c r="A200" s="42"/>
    </row>
    <row r="201">
      <c r="A201" s="42"/>
    </row>
    <row r="202">
      <c r="A202" s="42"/>
    </row>
    <row r="203">
      <c r="A203" s="42"/>
    </row>
    <row r="204">
      <c r="A204" s="42"/>
    </row>
    <row r="205">
      <c r="A205" s="42"/>
    </row>
    <row r="206">
      <c r="A206" s="42"/>
    </row>
    <row r="207">
      <c r="A207" s="42"/>
    </row>
    <row r="208">
      <c r="A208" s="42"/>
    </row>
    <row r="209">
      <c r="A209" s="42"/>
    </row>
    <row r="210">
      <c r="A210" s="42"/>
    </row>
    <row r="211">
      <c r="A211" s="42"/>
    </row>
    <row r="212">
      <c r="A212" s="42"/>
    </row>
    <row r="213">
      <c r="A213" s="42"/>
    </row>
    <row r="214">
      <c r="A214" s="42"/>
    </row>
    <row r="215">
      <c r="A215" s="42"/>
    </row>
    <row r="216">
      <c r="A216" s="42"/>
    </row>
    <row r="217">
      <c r="A217" s="42"/>
    </row>
    <row r="218">
      <c r="A218" s="42"/>
    </row>
    <row r="219">
      <c r="A219" s="42"/>
    </row>
    <row r="220">
      <c r="A220" s="42"/>
    </row>
    <row r="221">
      <c r="A221" s="42"/>
    </row>
    <row r="222">
      <c r="A222" s="42"/>
    </row>
    <row r="223">
      <c r="A223" s="42"/>
    </row>
    <row r="224">
      <c r="A224" s="42"/>
    </row>
    <row r="225">
      <c r="A225" s="42"/>
    </row>
    <row r="226">
      <c r="A226" s="42"/>
    </row>
    <row r="227">
      <c r="A227" s="42"/>
    </row>
    <row r="228">
      <c r="A228" s="42"/>
    </row>
    <row r="229">
      <c r="A229" s="42"/>
    </row>
    <row r="230">
      <c r="A230" s="42"/>
    </row>
    <row r="231">
      <c r="A231" s="42"/>
    </row>
    <row r="232">
      <c r="A232" s="42"/>
    </row>
    <row r="233">
      <c r="A233" s="42"/>
    </row>
    <row r="234">
      <c r="A234" s="42"/>
    </row>
    <row r="235">
      <c r="A235" s="42"/>
    </row>
    <row r="236">
      <c r="A236" s="42"/>
    </row>
    <row r="237">
      <c r="A237" s="42"/>
    </row>
    <row r="238">
      <c r="A238" s="42"/>
    </row>
    <row r="239">
      <c r="A239" s="42"/>
    </row>
    <row r="240">
      <c r="A240" s="42"/>
    </row>
    <row r="241">
      <c r="A241" s="42"/>
    </row>
    <row r="242">
      <c r="A242" s="42"/>
    </row>
    <row r="243">
      <c r="A243" s="42"/>
    </row>
    <row r="244">
      <c r="A244" s="42"/>
    </row>
    <row r="245">
      <c r="A245" s="42"/>
    </row>
    <row r="246">
      <c r="A246" s="42"/>
    </row>
    <row r="247">
      <c r="A247" s="42"/>
    </row>
    <row r="248">
      <c r="A248" s="42"/>
    </row>
    <row r="249">
      <c r="A249" s="42"/>
    </row>
    <row r="250">
      <c r="A250" s="42"/>
    </row>
    <row r="251">
      <c r="A251" s="42"/>
    </row>
    <row r="252">
      <c r="A252" s="42"/>
    </row>
    <row r="253">
      <c r="A253" s="42"/>
    </row>
    <row r="254">
      <c r="A254" s="42"/>
    </row>
    <row r="255">
      <c r="A255" s="42"/>
    </row>
    <row r="256">
      <c r="A256" s="42"/>
    </row>
    <row r="257">
      <c r="A257" s="42"/>
    </row>
    <row r="258">
      <c r="A258" s="42"/>
    </row>
    <row r="259">
      <c r="A259" s="42"/>
    </row>
    <row r="260">
      <c r="A260" s="42"/>
    </row>
    <row r="261">
      <c r="A261" s="42"/>
    </row>
    <row r="262">
      <c r="A262" s="42"/>
    </row>
    <row r="263">
      <c r="A263" s="42"/>
    </row>
    <row r="264">
      <c r="A264" s="42"/>
    </row>
    <row r="265">
      <c r="A265" s="42"/>
    </row>
    <row r="266">
      <c r="A266" s="42"/>
    </row>
    <row r="267">
      <c r="A267" s="42"/>
    </row>
    <row r="268">
      <c r="A268" s="42"/>
    </row>
    <row r="269">
      <c r="A269" s="42"/>
    </row>
    <row r="270">
      <c r="A270" s="42"/>
    </row>
    <row r="271">
      <c r="A271" s="42"/>
    </row>
    <row r="272">
      <c r="A272" s="42"/>
    </row>
    <row r="273">
      <c r="A273" s="42"/>
    </row>
    <row r="274">
      <c r="A274" s="42"/>
    </row>
    <row r="275">
      <c r="A275" s="42"/>
    </row>
    <row r="276">
      <c r="A276" s="42"/>
    </row>
    <row r="277">
      <c r="A277" s="42"/>
    </row>
    <row r="278">
      <c r="A278" s="42"/>
    </row>
    <row r="279">
      <c r="A279" s="42"/>
    </row>
    <row r="280">
      <c r="A280" s="42"/>
    </row>
    <row r="281">
      <c r="A281" s="42"/>
    </row>
    <row r="282">
      <c r="A282" s="42"/>
    </row>
    <row r="283">
      <c r="A283" s="42"/>
    </row>
    <row r="284">
      <c r="A284" s="42"/>
    </row>
    <row r="285">
      <c r="A285" s="42"/>
    </row>
    <row r="286">
      <c r="A286" s="42"/>
    </row>
    <row r="287">
      <c r="A287" s="42"/>
    </row>
    <row r="288">
      <c r="A288" s="42"/>
    </row>
    <row r="289">
      <c r="A289" s="42"/>
    </row>
    <row r="290">
      <c r="A290" s="42"/>
    </row>
    <row r="291">
      <c r="A291" s="42"/>
    </row>
    <row r="292">
      <c r="A292" s="42"/>
    </row>
    <row r="293">
      <c r="A293" s="42"/>
    </row>
    <row r="294">
      <c r="A294" s="42"/>
    </row>
    <row r="295">
      <c r="A295" s="42"/>
    </row>
    <row r="296">
      <c r="A296" s="42"/>
    </row>
    <row r="297">
      <c r="A297" s="42"/>
    </row>
    <row r="298">
      <c r="A298" s="42"/>
    </row>
    <row r="299">
      <c r="A299" s="42"/>
    </row>
    <row r="300">
      <c r="A300" s="42"/>
    </row>
    <row r="301">
      <c r="A301" s="42"/>
    </row>
    <row r="302">
      <c r="A302" s="42"/>
    </row>
    <row r="303">
      <c r="A303" s="42"/>
    </row>
    <row r="304">
      <c r="A304" s="42"/>
    </row>
    <row r="305">
      <c r="A305" s="42"/>
    </row>
    <row r="306">
      <c r="A306" s="42"/>
    </row>
    <row r="307">
      <c r="A307" s="42"/>
    </row>
    <row r="308">
      <c r="A308" s="42"/>
    </row>
    <row r="309">
      <c r="A309" s="42"/>
    </row>
    <row r="310">
      <c r="A310" s="42"/>
    </row>
    <row r="311">
      <c r="A311" s="42"/>
    </row>
    <row r="312">
      <c r="A312" s="42"/>
    </row>
    <row r="313">
      <c r="A313" s="42"/>
    </row>
    <row r="314">
      <c r="A314" s="42"/>
    </row>
    <row r="315">
      <c r="A315" s="42"/>
    </row>
    <row r="316">
      <c r="A316" s="42"/>
    </row>
    <row r="317">
      <c r="A317" s="42"/>
    </row>
    <row r="318">
      <c r="A318" s="42"/>
    </row>
    <row r="319">
      <c r="A319" s="42"/>
    </row>
    <row r="320">
      <c r="A320" s="42"/>
    </row>
    <row r="321">
      <c r="A321" s="42"/>
    </row>
    <row r="322">
      <c r="A322" s="42"/>
    </row>
    <row r="323">
      <c r="A323" s="42"/>
    </row>
    <row r="324">
      <c r="A324" s="42"/>
    </row>
    <row r="325">
      <c r="A325" s="42"/>
    </row>
    <row r="326">
      <c r="A326" s="42"/>
    </row>
    <row r="327">
      <c r="A327" s="42"/>
    </row>
    <row r="328">
      <c r="A328" s="42"/>
    </row>
    <row r="329">
      <c r="A329" s="42"/>
    </row>
    <row r="330">
      <c r="A330" s="42"/>
    </row>
    <row r="331">
      <c r="A331" s="42"/>
    </row>
    <row r="332">
      <c r="A332" s="42"/>
    </row>
    <row r="333">
      <c r="A333" s="42"/>
    </row>
    <row r="334">
      <c r="A334" s="42"/>
    </row>
    <row r="335">
      <c r="A335" s="42"/>
    </row>
    <row r="336">
      <c r="A336" s="42"/>
    </row>
    <row r="337">
      <c r="A337" s="42"/>
    </row>
    <row r="338">
      <c r="A338" s="42"/>
    </row>
    <row r="339">
      <c r="A339" s="42"/>
    </row>
    <row r="340">
      <c r="A340" s="42"/>
    </row>
    <row r="341">
      <c r="A341" s="42"/>
    </row>
    <row r="342">
      <c r="A342" s="42"/>
    </row>
    <row r="343">
      <c r="A343" s="42"/>
    </row>
    <row r="344">
      <c r="A344" s="42"/>
    </row>
    <row r="345">
      <c r="A345" s="42"/>
    </row>
    <row r="346">
      <c r="A346" s="42"/>
    </row>
    <row r="347">
      <c r="A347" s="42"/>
    </row>
    <row r="348">
      <c r="A348" s="42"/>
    </row>
    <row r="349">
      <c r="A349" s="42"/>
    </row>
    <row r="350">
      <c r="A350" s="42"/>
    </row>
    <row r="351">
      <c r="A351" s="42"/>
    </row>
    <row r="352">
      <c r="A352" s="42"/>
    </row>
    <row r="353">
      <c r="A353" s="42"/>
    </row>
    <row r="354">
      <c r="A354" s="42"/>
    </row>
    <row r="355">
      <c r="A355" s="42"/>
    </row>
    <row r="356">
      <c r="A356" s="42"/>
    </row>
    <row r="357">
      <c r="A357" s="42"/>
    </row>
    <row r="358">
      <c r="A358" s="42"/>
    </row>
    <row r="359">
      <c r="A359" s="42"/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  <row r="385">
      <c r="A385" s="42"/>
    </row>
    <row r="386">
      <c r="A386" s="42"/>
    </row>
    <row r="387">
      <c r="A387" s="42"/>
    </row>
    <row r="388">
      <c r="A388" s="42"/>
    </row>
    <row r="389">
      <c r="A389" s="42"/>
    </row>
    <row r="390">
      <c r="A390" s="42"/>
    </row>
    <row r="391">
      <c r="A391" s="42"/>
    </row>
    <row r="392">
      <c r="A392" s="42"/>
    </row>
    <row r="393">
      <c r="A393" s="42"/>
    </row>
    <row r="394">
      <c r="A394" s="42"/>
    </row>
    <row r="395">
      <c r="A395" s="42"/>
    </row>
    <row r="396">
      <c r="A396" s="42"/>
    </row>
    <row r="397">
      <c r="A397" s="42"/>
    </row>
    <row r="398">
      <c r="A398" s="42"/>
    </row>
    <row r="399">
      <c r="A399" s="42"/>
    </row>
    <row r="400">
      <c r="A400" s="42"/>
    </row>
    <row r="401">
      <c r="A401" s="42"/>
    </row>
    <row r="402">
      <c r="A402" s="42"/>
    </row>
    <row r="403">
      <c r="A403" s="42"/>
    </row>
    <row r="404">
      <c r="A404" s="42"/>
    </row>
    <row r="405">
      <c r="A405" s="42"/>
    </row>
    <row r="406">
      <c r="A406" s="42"/>
    </row>
    <row r="407">
      <c r="A407" s="42"/>
    </row>
    <row r="408">
      <c r="A408" s="42"/>
    </row>
    <row r="409">
      <c r="A409" s="42"/>
    </row>
    <row r="410">
      <c r="A410" s="42"/>
    </row>
    <row r="411">
      <c r="A411" s="42"/>
    </row>
    <row r="412">
      <c r="A412" s="42"/>
    </row>
    <row r="413">
      <c r="A413" s="42"/>
    </row>
    <row r="414">
      <c r="A414" s="42"/>
    </row>
    <row r="415">
      <c r="A415" s="42"/>
    </row>
    <row r="416">
      <c r="A416" s="42"/>
    </row>
    <row r="417">
      <c r="A417" s="42"/>
    </row>
    <row r="418">
      <c r="A418" s="42"/>
    </row>
    <row r="419">
      <c r="A419" s="42"/>
    </row>
    <row r="420">
      <c r="A420" s="42"/>
    </row>
    <row r="421">
      <c r="A421" s="42"/>
    </row>
    <row r="422">
      <c r="A422" s="42"/>
    </row>
    <row r="423">
      <c r="A423" s="42"/>
    </row>
    <row r="424">
      <c r="A424" s="42"/>
    </row>
    <row r="425">
      <c r="A425" s="42"/>
    </row>
    <row r="426">
      <c r="A426" s="42"/>
    </row>
    <row r="427">
      <c r="A427" s="42"/>
    </row>
    <row r="428">
      <c r="A428" s="42"/>
    </row>
    <row r="429">
      <c r="A429" s="42"/>
    </row>
    <row r="430">
      <c r="A430" s="42"/>
    </row>
    <row r="431">
      <c r="A431" s="42"/>
    </row>
    <row r="432">
      <c r="A432" s="42"/>
    </row>
    <row r="433">
      <c r="A433" s="42"/>
    </row>
    <row r="434">
      <c r="A434" s="42"/>
    </row>
    <row r="435">
      <c r="A435" s="42"/>
    </row>
    <row r="436">
      <c r="A436" s="42"/>
    </row>
    <row r="437">
      <c r="A437" s="42"/>
    </row>
    <row r="438">
      <c r="A438" s="42"/>
    </row>
    <row r="439">
      <c r="A439" s="42"/>
    </row>
    <row r="440">
      <c r="A440" s="42"/>
    </row>
    <row r="441">
      <c r="A441" s="42"/>
    </row>
    <row r="442">
      <c r="A442" s="42"/>
    </row>
    <row r="443">
      <c r="A443" s="42"/>
    </row>
    <row r="444">
      <c r="A444" s="42"/>
    </row>
    <row r="445">
      <c r="A445" s="42"/>
    </row>
    <row r="446">
      <c r="A446" s="42"/>
    </row>
    <row r="447">
      <c r="A447" s="42"/>
    </row>
    <row r="448">
      <c r="A448" s="42"/>
    </row>
    <row r="449">
      <c r="A449" s="42"/>
    </row>
    <row r="450">
      <c r="A450" s="42"/>
    </row>
    <row r="451">
      <c r="A451" s="42"/>
    </row>
    <row r="452">
      <c r="A452" s="42"/>
    </row>
    <row r="453">
      <c r="A453" s="42"/>
    </row>
    <row r="454">
      <c r="A454" s="42"/>
    </row>
    <row r="455">
      <c r="A455" s="42"/>
    </row>
    <row r="456">
      <c r="A456" s="42"/>
    </row>
    <row r="457">
      <c r="A457" s="42"/>
    </row>
    <row r="458">
      <c r="A458" s="42"/>
    </row>
    <row r="459">
      <c r="A459" s="42"/>
    </row>
    <row r="460">
      <c r="A460" s="42"/>
    </row>
    <row r="461">
      <c r="A461" s="42"/>
    </row>
    <row r="462">
      <c r="A462" s="42"/>
    </row>
    <row r="463">
      <c r="A463" s="42"/>
    </row>
    <row r="464">
      <c r="A464" s="42"/>
    </row>
    <row r="465">
      <c r="A465" s="42"/>
    </row>
    <row r="466">
      <c r="A466" s="42"/>
    </row>
    <row r="467">
      <c r="A467" s="42"/>
    </row>
    <row r="468">
      <c r="A468" s="42"/>
    </row>
    <row r="469">
      <c r="A469" s="42"/>
    </row>
    <row r="470">
      <c r="A470" s="42"/>
    </row>
    <row r="471">
      <c r="A471" s="42"/>
    </row>
    <row r="472">
      <c r="A472" s="42"/>
    </row>
    <row r="473">
      <c r="A473" s="42"/>
    </row>
    <row r="474">
      <c r="A474" s="42"/>
    </row>
    <row r="475">
      <c r="A475" s="42"/>
    </row>
    <row r="476">
      <c r="A476" s="42"/>
    </row>
    <row r="477">
      <c r="A477" s="42"/>
    </row>
    <row r="478">
      <c r="A478" s="42"/>
    </row>
    <row r="479">
      <c r="A479" s="42"/>
    </row>
    <row r="480">
      <c r="A480" s="42"/>
    </row>
    <row r="481">
      <c r="A481" s="42"/>
    </row>
    <row r="482">
      <c r="A482" s="42"/>
    </row>
    <row r="483">
      <c r="A483" s="42"/>
    </row>
    <row r="484">
      <c r="A484" s="42"/>
    </row>
    <row r="485">
      <c r="A485" s="42"/>
    </row>
    <row r="486">
      <c r="A486" s="42"/>
    </row>
    <row r="487">
      <c r="A487" s="42"/>
    </row>
    <row r="488">
      <c r="A488" s="42"/>
    </row>
    <row r="489">
      <c r="A489" s="42"/>
    </row>
    <row r="490">
      <c r="A490" s="42"/>
    </row>
    <row r="491">
      <c r="A491" s="42"/>
    </row>
    <row r="492">
      <c r="A492" s="42"/>
    </row>
    <row r="493">
      <c r="A493" s="42"/>
    </row>
    <row r="494">
      <c r="A494" s="42"/>
    </row>
    <row r="495">
      <c r="A495" s="42"/>
    </row>
    <row r="496">
      <c r="A496" s="42"/>
    </row>
    <row r="497">
      <c r="A497" s="42"/>
    </row>
    <row r="498">
      <c r="A498" s="42"/>
    </row>
    <row r="499">
      <c r="A499" s="42"/>
    </row>
    <row r="500">
      <c r="A500" s="42"/>
    </row>
    <row r="501">
      <c r="A501" s="42"/>
    </row>
    <row r="502">
      <c r="A502" s="42"/>
    </row>
    <row r="503">
      <c r="A503" s="42"/>
    </row>
    <row r="504">
      <c r="A504" s="42"/>
    </row>
    <row r="505">
      <c r="A505" s="42"/>
    </row>
    <row r="506">
      <c r="A506" s="42"/>
    </row>
    <row r="507">
      <c r="A507" s="42"/>
    </row>
    <row r="508">
      <c r="A508" s="42"/>
    </row>
    <row r="509">
      <c r="A509" s="42"/>
    </row>
    <row r="510">
      <c r="A510" s="42"/>
    </row>
    <row r="511">
      <c r="A511" s="42"/>
    </row>
    <row r="512">
      <c r="A512" s="42"/>
    </row>
    <row r="513">
      <c r="A513" s="42"/>
    </row>
    <row r="514">
      <c r="A514" s="42"/>
    </row>
    <row r="515">
      <c r="A515" s="42"/>
    </row>
    <row r="516">
      <c r="A516" s="42"/>
    </row>
    <row r="517">
      <c r="A517" s="42"/>
    </row>
    <row r="518">
      <c r="A518" s="42"/>
    </row>
    <row r="519">
      <c r="A519" s="42"/>
    </row>
    <row r="520">
      <c r="A520" s="42"/>
    </row>
    <row r="521">
      <c r="A521" s="42"/>
    </row>
    <row r="522">
      <c r="A522" s="42"/>
    </row>
    <row r="523">
      <c r="A523" s="42"/>
    </row>
    <row r="524">
      <c r="A524" s="42"/>
    </row>
    <row r="525">
      <c r="A525" s="42"/>
    </row>
    <row r="526">
      <c r="A526" s="42"/>
    </row>
    <row r="527">
      <c r="A527" s="42"/>
    </row>
    <row r="528">
      <c r="A528" s="42"/>
    </row>
    <row r="529">
      <c r="A529" s="42"/>
    </row>
    <row r="530">
      <c r="A530" s="42"/>
    </row>
    <row r="531">
      <c r="A531" s="42"/>
    </row>
    <row r="532">
      <c r="A532" s="42"/>
    </row>
    <row r="533">
      <c r="A533" s="42"/>
    </row>
    <row r="534">
      <c r="A534" s="42"/>
    </row>
    <row r="535">
      <c r="A535" s="42"/>
    </row>
    <row r="536">
      <c r="A536" s="42"/>
    </row>
    <row r="537">
      <c r="A537" s="42"/>
    </row>
    <row r="538">
      <c r="A538" s="42"/>
    </row>
    <row r="539">
      <c r="A539" s="42"/>
    </row>
    <row r="540">
      <c r="A540" s="42"/>
    </row>
    <row r="541">
      <c r="A541" s="42"/>
    </row>
    <row r="542">
      <c r="A542" s="42"/>
    </row>
    <row r="543">
      <c r="A543" s="42"/>
    </row>
    <row r="544">
      <c r="A544" s="42"/>
    </row>
    <row r="545">
      <c r="A545" s="42"/>
    </row>
    <row r="546">
      <c r="A546" s="42"/>
    </row>
    <row r="547">
      <c r="A547" s="42"/>
    </row>
    <row r="548">
      <c r="A548" s="42"/>
    </row>
    <row r="549">
      <c r="A549" s="42"/>
    </row>
    <row r="550">
      <c r="A550" s="42"/>
    </row>
    <row r="551">
      <c r="A551" s="42"/>
    </row>
    <row r="552">
      <c r="A552" s="42"/>
    </row>
    <row r="553">
      <c r="A553" s="42"/>
    </row>
    <row r="554">
      <c r="A554" s="42"/>
    </row>
    <row r="555">
      <c r="A555" s="42"/>
    </row>
    <row r="556">
      <c r="A556" s="42"/>
    </row>
    <row r="557">
      <c r="A557" s="42"/>
    </row>
    <row r="558">
      <c r="A558" s="42"/>
    </row>
    <row r="559">
      <c r="A559" s="42"/>
    </row>
    <row r="560">
      <c r="A560" s="42"/>
    </row>
    <row r="561">
      <c r="A561" s="42"/>
    </row>
    <row r="562">
      <c r="A562" s="42"/>
    </row>
    <row r="563">
      <c r="A563" s="42"/>
    </row>
    <row r="564">
      <c r="A564" s="42"/>
    </row>
    <row r="565">
      <c r="A565" s="42"/>
    </row>
    <row r="566">
      <c r="A566" s="42"/>
    </row>
    <row r="567">
      <c r="A567" s="42"/>
    </row>
    <row r="568">
      <c r="A568" s="42"/>
    </row>
    <row r="569">
      <c r="A569" s="42"/>
    </row>
    <row r="570">
      <c r="A570" s="42"/>
    </row>
    <row r="571">
      <c r="A571" s="42"/>
    </row>
    <row r="572">
      <c r="A572" s="42"/>
    </row>
    <row r="573">
      <c r="A573" s="42"/>
    </row>
    <row r="574">
      <c r="A574" s="42"/>
    </row>
    <row r="575">
      <c r="A575" s="42"/>
    </row>
    <row r="576">
      <c r="A576" s="42"/>
    </row>
    <row r="577">
      <c r="A577" s="42"/>
    </row>
    <row r="578">
      <c r="A578" s="42"/>
    </row>
    <row r="579">
      <c r="A579" s="42"/>
    </row>
    <row r="580">
      <c r="A580" s="42"/>
    </row>
    <row r="581">
      <c r="A581" s="42"/>
    </row>
    <row r="582">
      <c r="A582" s="42"/>
    </row>
    <row r="583">
      <c r="A583" s="42"/>
    </row>
    <row r="584">
      <c r="A584" s="42"/>
    </row>
    <row r="585">
      <c r="A585" s="42"/>
    </row>
    <row r="586">
      <c r="A586" s="42"/>
    </row>
    <row r="587">
      <c r="A587" s="42"/>
    </row>
    <row r="588">
      <c r="A588" s="42"/>
    </row>
    <row r="589">
      <c r="A589" s="42"/>
    </row>
    <row r="590">
      <c r="A590" s="42"/>
    </row>
    <row r="591">
      <c r="A591" s="42"/>
    </row>
    <row r="592">
      <c r="A592" s="42"/>
    </row>
    <row r="593">
      <c r="A593" s="42"/>
    </row>
    <row r="594">
      <c r="A594" s="42"/>
    </row>
    <row r="595">
      <c r="A595" s="42"/>
    </row>
    <row r="596">
      <c r="A596" s="42"/>
    </row>
    <row r="597">
      <c r="A597" s="42"/>
    </row>
    <row r="598">
      <c r="A598" s="42"/>
    </row>
    <row r="599">
      <c r="A599" s="42"/>
    </row>
    <row r="600">
      <c r="A600" s="42"/>
    </row>
    <row r="601">
      <c r="A601" s="42"/>
    </row>
    <row r="602">
      <c r="A602" s="42"/>
    </row>
    <row r="603">
      <c r="A603" s="42"/>
    </row>
    <row r="604">
      <c r="A604" s="42"/>
    </row>
    <row r="605">
      <c r="A605" s="42"/>
    </row>
    <row r="606">
      <c r="A606" s="42"/>
    </row>
    <row r="607">
      <c r="A607" s="42"/>
    </row>
    <row r="608">
      <c r="A608" s="42"/>
    </row>
    <row r="609">
      <c r="A609" s="42"/>
    </row>
    <row r="610">
      <c r="A610" s="42"/>
    </row>
    <row r="611">
      <c r="A611" s="42"/>
    </row>
    <row r="612">
      <c r="A612" s="42"/>
    </row>
    <row r="613">
      <c r="A613" s="42"/>
    </row>
    <row r="614">
      <c r="A614" s="42"/>
    </row>
    <row r="615">
      <c r="A615" s="42"/>
    </row>
    <row r="616">
      <c r="A616" s="42"/>
    </row>
    <row r="617">
      <c r="A617" s="42"/>
    </row>
    <row r="618">
      <c r="A618" s="42"/>
    </row>
    <row r="619">
      <c r="A619" s="42"/>
    </row>
    <row r="620">
      <c r="A620" s="42"/>
    </row>
    <row r="621">
      <c r="A621" s="42"/>
    </row>
    <row r="622">
      <c r="A622" s="42"/>
    </row>
    <row r="623">
      <c r="A623" s="42"/>
    </row>
    <row r="624">
      <c r="A624" s="42"/>
    </row>
    <row r="625">
      <c r="A625" s="42"/>
    </row>
    <row r="626">
      <c r="A626" s="42"/>
    </row>
    <row r="627">
      <c r="A627" s="42"/>
    </row>
    <row r="628">
      <c r="A628" s="42"/>
    </row>
    <row r="629">
      <c r="A629" s="42"/>
    </row>
    <row r="630">
      <c r="A630" s="42"/>
    </row>
    <row r="631">
      <c r="A631" s="42"/>
    </row>
    <row r="632">
      <c r="A632" s="42"/>
    </row>
    <row r="633">
      <c r="A633" s="42"/>
    </row>
    <row r="634">
      <c r="A634" s="42"/>
    </row>
    <row r="635">
      <c r="A635" s="42"/>
    </row>
    <row r="636">
      <c r="A636" s="42"/>
    </row>
    <row r="637">
      <c r="A637" s="42"/>
    </row>
    <row r="638">
      <c r="A638" s="42"/>
    </row>
    <row r="639">
      <c r="A639" s="42"/>
    </row>
    <row r="640">
      <c r="A640" s="42"/>
    </row>
    <row r="641">
      <c r="A641" s="42"/>
    </row>
    <row r="642">
      <c r="A642" s="42"/>
    </row>
    <row r="643">
      <c r="A643" s="42"/>
    </row>
    <row r="644">
      <c r="A644" s="42"/>
    </row>
    <row r="645">
      <c r="A645" s="42"/>
    </row>
    <row r="646">
      <c r="A646" s="42"/>
    </row>
    <row r="647">
      <c r="A647" s="42"/>
    </row>
    <row r="648">
      <c r="A648" s="42"/>
    </row>
    <row r="649">
      <c r="A649" s="42"/>
    </row>
    <row r="650">
      <c r="A650" s="42"/>
    </row>
    <row r="651">
      <c r="A651" s="42"/>
    </row>
    <row r="652">
      <c r="A652" s="42"/>
    </row>
    <row r="653">
      <c r="A653" s="42"/>
    </row>
    <row r="654">
      <c r="A654" s="42"/>
    </row>
    <row r="655">
      <c r="A655" s="42"/>
    </row>
    <row r="656">
      <c r="A656" s="42"/>
    </row>
    <row r="657">
      <c r="A657" s="42"/>
    </row>
    <row r="658">
      <c r="A658" s="42"/>
    </row>
    <row r="659">
      <c r="A659" s="42"/>
    </row>
    <row r="660">
      <c r="A660" s="42"/>
    </row>
    <row r="661">
      <c r="A661" s="42"/>
    </row>
    <row r="662">
      <c r="A662" s="42"/>
    </row>
    <row r="663">
      <c r="A663" s="42"/>
    </row>
    <row r="664">
      <c r="A664" s="42"/>
    </row>
    <row r="665">
      <c r="A665" s="42"/>
    </row>
    <row r="666">
      <c r="A666" s="42"/>
    </row>
    <row r="667">
      <c r="A667" s="42"/>
    </row>
    <row r="668">
      <c r="A668" s="42"/>
    </row>
    <row r="669">
      <c r="A669" s="42"/>
    </row>
    <row r="670">
      <c r="A670" s="42"/>
    </row>
    <row r="671">
      <c r="A671" s="42"/>
    </row>
    <row r="672">
      <c r="A672" s="42"/>
    </row>
    <row r="673">
      <c r="A673" s="42"/>
    </row>
    <row r="674">
      <c r="A674" s="42"/>
    </row>
    <row r="675">
      <c r="A675" s="42"/>
    </row>
    <row r="676">
      <c r="A676" s="42"/>
    </row>
    <row r="677">
      <c r="A677" s="42"/>
    </row>
    <row r="678">
      <c r="A678" s="42"/>
    </row>
    <row r="679">
      <c r="A679" s="42"/>
    </row>
    <row r="680">
      <c r="A680" s="42"/>
    </row>
    <row r="681">
      <c r="A681" s="42"/>
    </row>
    <row r="682">
      <c r="A682" s="42"/>
    </row>
    <row r="683">
      <c r="A683" s="42"/>
    </row>
    <row r="684">
      <c r="A684" s="42"/>
    </row>
    <row r="685">
      <c r="A685" s="42"/>
    </row>
    <row r="686">
      <c r="A686" s="42"/>
    </row>
    <row r="687">
      <c r="A687" s="42"/>
    </row>
    <row r="688">
      <c r="A688" s="42"/>
    </row>
    <row r="689">
      <c r="A689" s="42"/>
    </row>
    <row r="690">
      <c r="A690" s="42"/>
    </row>
    <row r="691">
      <c r="A691" s="42"/>
    </row>
    <row r="692">
      <c r="A692" s="42"/>
    </row>
    <row r="693">
      <c r="A693" s="42"/>
    </row>
    <row r="694">
      <c r="A694" s="42"/>
    </row>
    <row r="695">
      <c r="A695" s="42"/>
    </row>
    <row r="696">
      <c r="A696" s="42"/>
    </row>
    <row r="697">
      <c r="A697" s="42"/>
    </row>
    <row r="698">
      <c r="A698" s="42"/>
    </row>
    <row r="699">
      <c r="A699" s="42"/>
    </row>
    <row r="700">
      <c r="A700" s="42"/>
    </row>
    <row r="701">
      <c r="A701" s="42"/>
    </row>
    <row r="702">
      <c r="A702" s="42"/>
    </row>
    <row r="703">
      <c r="A703" s="42"/>
    </row>
    <row r="704">
      <c r="A704" s="42"/>
    </row>
    <row r="705">
      <c r="A705" s="42"/>
    </row>
    <row r="706">
      <c r="A706" s="42"/>
    </row>
    <row r="707">
      <c r="A707" s="42"/>
    </row>
    <row r="708">
      <c r="A708" s="42"/>
    </row>
    <row r="709">
      <c r="A709" s="42"/>
    </row>
    <row r="710">
      <c r="A710" s="42"/>
    </row>
    <row r="711">
      <c r="A711" s="42"/>
    </row>
    <row r="712">
      <c r="A712" s="42"/>
    </row>
    <row r="713">
      <c r="A713" s="42"/>
    </row>
    <row r="714">
      <c r="A714" s="42"/>
    </row>
    <row r="715">
      <c r="A715" s="42"/>
    </row>
    <row r="716">
      <c r="A716" s="42"/>
    </row>
    <row r="717">
      <c r="A717" s="42"/>
    </row>
    <row r="718">
      <c r="A718" s="42"/>
    </row>
    <row r="719">
      <c r="A719" s="42"/>
    </row>
    <row r="720">
      <c r="A720" s="42"/>
    </row>
    <row r="721">
      <c r="A721" s="42"/>
    </row>
    <row r="722">
      <c r="A722" s="42"/>
    </row>
    <row r="723">
      <c r="A723" s="42"/>
    </row>
    <row r="724">
      <c r="A724" s="42"/>
    </row>
    <row r="725">
      <c r="A725" s="42"/>
    </row>
    <row r="726">
      <c r="A726" s="42"/>
    </row>
    <row r="727">
      <c r="A727" s="42"/>
    </row>
    <row r="728">
      <c r="A728" s="42"/>
    </row>
    <row r="729">
      <c r="A729" s="42"/>
    </row>
    <row r="730">
      <c r="A730" s="42"/>
    </row>
    <row r="731">
      <c r="A731" s="42"/>
    </row>
    <row r="732">
      <c r="A732" s="42"/>
    </row>
    <row r="733">
      <c r="A733" s="42"/>
    </row>
    <row r="734">
      <c r="A734" s="42"/>
    </row>
    <row r="735">
      <c r="A735" s="42"/>
    </row>
    <row r="736">
      <c r="A736" s="42"/>
    </row>
    <row r="737">
      <c r="A737" s="42"/>
    </row>
    <row r="738">
      <c r="A738" s="42"/>
    </row>
    <row r="739">
      <c r="A739" s="42"/>
    </row>
    <row r="740">
      <c r="A740" s="42"/>
    </row>
    <row r="741">
      <c r="A741" s="42"/>
    </row>
    <row r="742">
      <c r="A742" s="42"/>
    </row>
    <row r="743">
      <c r="A743" s="42"/>
    </row>
    <row r="744">
      <c r="A744" s="42"/>
    </row>
    <row r="745">
      <c r="A745" s="42"/>
    </row>
    <row r="746">
      <c r="A746" s="42"/>
    </row>
    <row r="747">
      <c r="A747" s="42"/>
    </row>
    <row r="748">
      <c r="A748" s="42"/>
    </row>
    <row r="749">
      <c r="A749" s="42"/>
    </row>
    <row r="750">
      <c r="A750" s="42"/>
    </row>
    <row r="751">
      <c r="A751" s="42"/>
    </row>
    <row r="752">
      <c r="A752" s="42"/>
    </row>
    <row r="753">
      <c r="A753" s="42"/>
    </row>
    <row r="754">
      <c r="A754" s="42"/>
    </row>
    <row r="755">
      <c r="A755" s="42"/>
    </row>
    <row r="756">
      <c r="A756" s="42"/>
    </row>
    <row r="757">
      <c r="A757" s="42"/>
    </row>
    <row r="758">
      <c r="A758" s="42"/>
    </row>
    <row r="759">
      <c r="A759" s="42"/>
    </row>
    <row r="760">
      <c r="A760" s="42"/>
    </row>
    <row r="761">
      <c r="A761" s="42"/>
    </row>
    <row r="762">
      <c r="A762" s="42"/>
    </row>
    <row r="763">
      <c r="A763" s="42"/>
    </row>
    <row r="764">
      <c r="A764" s="42"/>
    </row>
    <row r="765">
      <c r="A765" s="42"/>
    </row>
    <row r="766">
      <c r="A766" s="42"/>
    </row>
    <row r="767">
      <c r="A767" s="42"/>
    </row>
    <row r="768">
      <c r="A768" s="42"/>
    </row>
    <row r="769">
      <c r="A769" s="42"/>
    </row>
    <row r="770">
      <c r="A770" s="42"/>
    </row>
    <row r="771">
      <c r="A771" s="42"/>
    </row>
    <row r="772">
      <c r="A772" s="42"/>
    </row>
    <row r="773">
      <c r="A773" s="42"/>
    </row>
    <row r="774">
      <c r="A774" s="42"/>
    </row>
    <row r="775">
      <c r="A775" s="42"/>
    </row>
    <row r="776">
      <c r="A776" s="42"/>
    </row>
    <row r="777">
      <c r="A777" s="42"/>
    </row>
    <row r="778">
      <c r="A778" s="42"/>
    </row>
    <row r="779">
      <c r="A779" s="42"/>
    </row>
    <row r="780">
      <c r="A780" s="42"/>
    </row>
    <row r="781">
      <c r="A781" s="42"/>
    </row>
    <row r="782">
      <c r="A782" s="42"/>
    </row>
    <row r="783">
      <c r="A783" s="42"/>
    </row>
    <row r="784">
      <c r="A784" s="42"/>
    </row>
    <row r="785">
      <c r="A785" s="42"/>
    </row>
    <row r="786">
      <c r="A786" s="42"/>
    </row>
    <row r="787">
      <c r="A787" s="42"/>
    </row>
    <row r="788">
      <c r="A788" s="42"/>
    </row>
    <row r="789">
      <c r="A789" s="42"/>
    </row>
    <row r="790">
      <c r="A790" s="42"/>
    </row>
    <row r="791">
      <c r="A791" s="42"/>
    </row>
    <row r="792">
      <c r="A792" s="42"/>
    </row>
    <row r="793">
      <c r="A793" s="42"/>
    </row>
    <row r="794">
      <c r="A794" s="42"/>
    </row>
    <row r="795">
      <c r="A795" s="42"/>
    </row>
    <row r="796">
      <c r="A796" s="42"/>
    </row>
    <row r="797">
      <c r="A797" s="42"/>
    </row>
    <row r="798">
      <c r="A798" s="42"/>
    </row>
    <row r="799">
      <c r="A799" s="42"/>
    </row>
    <row r="800">
      <c r="A800" s="42"/>
    </row>
    <row r="801">
      <c r="A801" s="42"/>
    </row>
    <row r="802">
      <c r="A802" s="42"/>
    </row>
    <row r="803">
      <c r="A803" s="42"/>
    </row>
    <row r="804">
      <c r="A804" s="42"/>
    </row>
    <row r="805">
      <c r="A805" s="42"/>
    </row>
    <row r="806">
      <c r="A806" s="42"/>
    </row>
    <row r="807">
      <c r="A807" s="42"/>
    </row>
    <row r="808">
      <c r="A808" s="42"/>
    </row>
    <row r="809">
      <c r="A809" s="42"/>
    </row>
    <row r="810">
      <c r="A810" s="42"/>
    </row>
    <row r="811">
      <c r="A811" s="42"/>
    </row>
    <row r="812">
      <c r="A812" s="42"/>
    </row>
    <row r="813">
      <c r="A813" s="42"/>
    </row>
    <row r="814">
      <c r="A814" s="42"/>
    </row>
    <row r="815">
      <c r="A815" s="42"/>
    </row>
    <row r="816">
      <c r="A816" s="42"/>
    </row>
    <row r="817">
      <c r="A817" s="42"/>
    </row>
    <row r="818">
      <c r="A818" s="42"/>
    </row>
    <row r="819">
      <c r="A819" s="42"/>
    </row>
    <row r="820">
      <c r="A820" s="42"/>
    </row>
    <row r="821">
      <c r="A821" s="42"/>
    </row>
    <row r="822">
      <c r="A822" s="42"/>
    </row>
    <row r="823">
      <c r="A823" s="42"/>
    </row>
    <row r="824">
      <c r="A824" s="42"/>
    </row>
    <row r="825">
      <c r="A825" s="42"/>
    </row>
    <row r="826">
      <c r="A826" s="42"/>
    </row>
    <row r="827">
      <c r="A827" s="42"/>
    </row>
    <row r="828">
      <c r="A828" s="42"/>
    </row>
    <row r="829">
      <c r="A829" s="42"/>
    </row>
    <row r="830">
      <c r="A830" s="42"/>
    </row>
    <row r="831">
      <c r="A831" s="42"/>
    </row>
    <row r="832">
      <c r="A832" s="42"/>
    </row>
    <row r="833">
      <c r="A833" s="42"/>
    </row>
    <row r="834">
      <c r="A834" s="42"/>
    </row>
    <row r="835">
      <c r="A835" s="42"/>
    </row>
    <row r="836">
      <c r="A836" s="42"/>
    </row>
    <row r="837">
      <c r="A837" s="42"/>
    </row>
    <row r="838">
      <c r="A838" s="42"/>
    </row>
    <row r="839">
      <c r="A839" s="42"/>
    </row>
    <row r="840">
      <c r="A840" s="42"/>
    </row>
    <row r="841">
      <c r="A841" s="42"/>
    </row>
    <row r="842">
      <c r="A842" s="42"/>
    </row>
    <row r="843">
      <c r="A843" s="42"/>
    </row>
    <row r="844">
      <c r="A844" s="42"/>
    </row>
    <row r="845">
      <c r="A845" s="42"/>
    </row>
    <row r="846">
      <c r="A846" s="42"/>
    </row>
    <row r="847">
      <c r="A847" s="42"/>
    </row>
    <row r="848">
      <c r="A848" s="42"/>
    </row>
    <row r="849">
      <c r="A849" s="42"/>
    </row>
    <row r="850">
      <c r="A850" s="42"/>
    </row>
    <row r="851">
      <c r="A851" s="42"/>
    </row>
    <row r="852">
      <c r="A852" s="42"/>
    </row>
    <row r="853">
      <c r="A853" s="42"/>
    </row>
    <row r="854">
      <c r="A854" s="42"/>
    </row>
    <row r="855">
      <c r="A855" s="42"/>
    </row>
    <row r="856">
      <c r="A856" s="42"/>
    </row>
    <row r="857">
      <c r="A857" s="42"/>
    </row>
    <row r="858">
      <c r="A858" s="42"/>
    </row>
    <row r="859">
      <c r="A859" s="42"/>
    </row>
    <row r="860">
      <c r="A860" s="42"/>
    </row>
    <row r="861">
      <c r="A861" s="42"/>
    </row>
    <row r="862">
      <c r="A862" s="42"/>
    </row>
    <row r="863">
      <c r="A863" s="42"/>
    </row>
    <row r="864">
      <c r="A864" s="42"/>
    </row>
    <row r="865">
      <c r="A865" s="42"/>
    </row>
    <row r="866">
      <c r="A866" s="42"/>
    </row>
    <row r="867">
      <c r="A867" s="42"/>
    </row>
    <row r="868">
      <c r="A868" s="42"/>
    </row>
    <row r="869">
      <c r="A869" s="42"/>
    </row>
    <row r="870">
      <c r="A870" s="42"/>
    </row>
    <row r="871">
      <c r="A871" s="42"/>
    </row>
    <row r="872">
      <c r="A872" s="42"/>
    </row>
    <row r="873">
      <c r="A873" s="42"/>
    </row>
    <row r="874">
      <c r="A874" s="42"/>
    </row>
    <row r="875">
      <c r="A875" s="42"/>
    </row>
    <row r="876">
      <c r="A876" s="42"/>
    </row>
    <row r="877">
      <c r="A877" s="42"/>
    </row>
    <row r="878">
      <c r="A878" s="42"/>
    </row>
    <row r="879">
      <c r="A879" s="42"/>
    </row>
    <row r="880">
      <c r="A880" s="42"/>
    </row>
    <row r="881">
      <c r="A881" s="42"/>
    </row>
    <row r="882">
      <c r="A882" s="42"/>
    </row>
    <row r="883">
      <c r="A883" s="42"/>
    </row>
    <row r="884">
      <c r="A884" s="42"/>
    </row>
    <row r="885">
      <c r="A885" s="42"/>
    </row>
    <row r="886">
      <c r="A886" s="42"/>
    </row>
    <row r="887">
      <c r="A887" s="42"/>
    </row>
    <row r="888">
      <c r="A888" s="42"/>
    </row>
    <row r="889">
      <c r="A889" s="42"/>
    </row>
    <row r="890">
      <c r="A890" s="42"/>
    </row>
    <row r="891">
      <c r="A891" s="42"/>
    </row>
    <row r="892">
      <c r="A892" s="42"/>
    </row>
    <row r="893">
      <c r="A893" s="42"/>
    </row>
    <row r="894">
      <c r="A894" s="42"/>
    </row>
    <row r="895">
      <c r="A895" s="42"/>
    </row>
    <row r="896">
      <c r="A896" s="42"/>
    </row>
    <row r="897">
      <c r="A897" s="42"/>
    </row>
    <row r="898">
      <c r="A898" s="42"/>
    </row>
    <row r="899">
      <c r="A899" s="42"/>
    </row>
    <row r="900">
      <c r="A900" s="42"/>
    </row>
    <row r="901">
      <c r="A901" s="42"/>
    </row>
    <row r="902">
      <c r="A902" s="42"/>
    </row>
    <row r="903">
      <c r="A903" s="42"/>
    </row>
    <row r="904">
      <c r="A904" s="42"/>
    </row>
    <row r="905">
      <c r="A905" s="42"/>
    </row>
    <row r="906">
      <c r="A906" s="42"/>
    </row>
    <row r="907">
      <c r="A907" s="42"/>
    </row>
    <row r="908">
      <c r="A908" s="42"/>
    </row>
    <row r="909">
      <c r="A909" s="42"/>
    </row>
    <row r="910">
      <c r="A910" s="42"/>
    </row>
    <row r="911">
      <c r="A911" s="42"/>
    </row>
    <row r="912">
      <c r="A912" s="42"/>
    </row>
    <row r="913">
      <c r="A913" s="42"/>
    </row>
    <row r="914">
      <c r="A914" s="42"/>
    </row>
    <row r="915">
      <c r="A915" s="42"/>
    </row>
    <row r="916">
      <c r="A916" s="42"/>
    </row>
    <row r="917">
      <c r="A917" s="42"/>
    </row>
    <row r="918">
      <c r="A918" s="42"/>
    </row>
    <row r="919">
      <c r="A919" s="42"/>
    </row>
    <row r="920">
      <c r="A920" s="42"/>
    </row>
    <row r="921">
      <c r="A921" s="42"/>
    </row>
    <row r="922">
      <c r="A922" s="42"/>
    </row>
    <row r="923">
      <c r="A923" s="42"/>
    </row>
    <row r="924">
      <c r="A924" s="42"/>
    </row>
    <row r="925">
      <c r="A925" s="42"/>
    </row>
    <row r="926">
      <c r="A926" s="42"/>
    </row>
    <row r="927">
      <c r="A927" s="42"/>
    </row>
    <row r="928">
      <c r="A928" s="42"/>
    </row>
    <row r="929">
      <c r="A929" s="42"/>
    </row>
    <row r="930">
      <c r="A930" s="42"/>
    </row>
    <row r="931">
      <c r="A931" s="42"/>
    </row>
    <row r="932">
      <c r="A932" s="42"/>
    </row>
    <row r="933">
      <c r="A933" s="42"/>
    </row>
    <row r="934">
      <c r="A934" s="42"/>
    </row>
    <row r="935">
      <c r="A935" s="42"/>
    </row>
    <row r="936">
      <c r="A936" s="42"/>
    </row>
    <row r="937">
      <c r="A937" s="42"/>
    </row>
    <row r="938">
      <c r="A938" s="42"/>
    </row>
    <row r="939">
      <c r="A939" s="42"/>
    </row>
    <row r="940">
      <c r="A940" s="42"/>
    </row>
    <row r="941">
      <c r="A941" s="42"/>
    </row>
    <row r="942">
      <c r="A942" s="42"/>
    </row>
    <row r="943">
      <c r="A943" s="42"/>
    </row>
    <row r="944">
      <c r="A944" s="42"/>
    </row>
    <row r="945">
      <c r="A945" s="42"/>
    </row>
    <row r="946">
      <c r="A946" s="42"/>
    </row>
    <row r="947">
      <c r="A947" s="42"/>
    </row>
    <row r="948">
      <c r="A948" s="42"/>
    </row>
    <row r="949">
      <c r="A949" s="42"/>
    </row>
    <row r="950">
      <c r="A950" s="42"/>
    </row>
    <row r="951">
      <c r="A951" s="42"/>
    </row>
    <row r="952">
      <c r="A952" s="42"/>
    </row>
    <row r="953">
      <c r="A953" s="42"/>
    </row>
    <row r="954">
      <c r="A954" s="42"/>
    </row>
    <row r="955">
      <c r="A955" s="42"/>
    </row>
    <row r="956">
      <c r="A956" s="42"/>
    </row>
    <row r="957">
      <c r="A957" s="42"/>
    </row>
    <row r="958">
      <c r="A958" s="42"/>
    </row>
    <row r="959">
      <c r="A959" s="42"/>
    </row>
    <row r="960">
      <c r="A960" s="42"/>
    </row>
    <row r="961">
      <c r="A961" s="42"/>
    </row>
    <row r="962">
      <c r="A962" s="42"/>
    </row>
    <row r="963">
      <c r="A963" s="42"/>
    </row>
    <row r="964">
      <c r="A964" s="42"/>
    </row>
    <row r="965">
      <c r="A965" s="42"/>
    </row>
    <row r="966">
      <c r="A966" s="42"/>
    </row>
    <row r="967">
      <c r="A967" s="42"/>
    </row>
    <row r="968">
      <c r="A968" s="42"/>
    </row>
    <row r="969">
      <c r="A969" s="42"/>
    </row>
    <row r="970">
      <c r="A970" s="42"/>
    </row>
    <row r="971">
      <c r="A971" s="42"/>
    </row>
    <row r="972">
      <c r="A972" s="42"/>
    </row>
    <row r="973">
      <c r="A973" s="42"/>
    </row>
    <row r="974">
      <c r="A974" s="42"/>
    </row>
    <row r="975">
      <c r="A975" s="42"/>
    </row>
    <row r="976">
      <c r="A976" s="42"/>
    </row>
    <row r="977">
      <c r="A977" s="42"/>
    </row>
    <row r="978">
      <c r="A978" s="42"/>
    </row>
    <row r="979">
      <c r="A979" s="42"/>
    </row>
    <row r="980">
      <c r="A980" s="42"/>
    </row>
    <row r="981">
      <c r="A981" s="42"/>
    </row>
    <row r="982">
      <c r="A982" s="42"/>
    </row>
    <row r="983">
      <c r="A983" s="42"/>
    </row>
    <row r="984">
      <c r="A984" s="42"/>
    </row>
    <row r="985">
      <c r="A985" s="42"/>
    </row>
    <row r="986">
      <c r="A986" s="42"/>
    </row>
    <row r="987">
      <c r="A987" s="42"/>
    </row>
    <row r="988">
      <c r="A988" s="42"/>
    </row>
    <row r="989">
      <c r="A989" s="42"/>
    </row>
    <row r="990">
      <c r="A990" s="42"/>
    </row>
    <row r="991">
      <c r="A991" s="42"/>
    </row>
    <row r="992">
      <c r="A992" s="42"/>
    </row>
    <row r="993">
      <c r="A993" s="42"/>
    </row>
    <row r="994">
      <c r="A994" s="42"/>
    </row>
    <row r="995">
      <c r="A995" s="42"/>
    </row>
    <row r="996">
      <c r="A996" s="42"/>
    </row>
    <row r="997">
      <c r="A997" s="42"/>
    </row>
    <row r="998">
      <c r="A998" s="4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3.29"/>
    <col customWidth="1" min="3" max="3" width="22.29"/>
    <col customWidth="1" min="4" max="5" width="37.14"/>
  </cols>
  <sheetData>
    <row r="1">
      <c r="B1" s="67" t="s">
        <v>649</v>
      </c>
      <c r="C1" s="67" t="s">
        <v>650</v>
      </c>
      <c r="D1" s="67" t="s">
        <v>651</v>
      </c>
      <c r="E1" s="67" t="s">
        <v>652</v>
      </c>
    </row>
    <row r="2" ht="24.75" customHeight="1">
      <c r="B2" s="69" t="str">
        <f>TOP_5_LIMITS!B2</f>
        <v>Повторяемость процесса</v>
      </c>
      <c r="C2" s="43" t="str">
        <f>IF(1&lt;=2,"Деньги и скорость",IF(1&lt;=4,"Система и команда","Масштабирование"))</f>
        <v>Деньги и скорость</v>
      </c>
      <c r="D2" s="43"/>
      <c r="E2" s="43"/>
    </row>
    <row r="3" ht="27.0" customHeight="1">
      <c r="B3" s="69" t="str">
        <f>TOP_5_LIMITS!B3</f>
        <v>Риски при масштабировании / для партнёров</v>
      </c>
      <c r="C3" s="43" t="str">
        <f>IF(2&lt;=2,"Деньги и скорость",IF(2&lt;=4,"Система и команда","Масштабирование"))</f>
        <v>Деньги и скорость</v>
      </c>
      <c r="D3" s="43"/>
      <c r="E3" s="43"/>
    </row>
    <row r="4" ht="35.25" customHeight="1">
      <c r="B4" s="69" t="str">
        <f>TOP_5_LIMITS!B4</f>
        <v>Метрики результата команды</v>
      </c>
      <c r="C4" s="43" t="str">
        <f>IF(3&lt;=2,"Деньги и скорость",IF(3&lt;=4,"Система и команда","Масштабирование"))</f>
        <v>Система и команда</v>
      </c>
      <c r="D4" s="43"/>
      <c r="E4" s="43"/>
    </row>
    <row r="5">
      <c r="B5" s="69" t="str">
        <f>TOP_5_LIMITS!B5</f>
        <v>Предсказуемость результата</v>
      </c>
      <c r="C5" s="43" t="str">
        <f>IF(4&lt;=2,"Деньги и скорость",IF(4&lt;=4,"Система и команда","Масштабирование"))</f>
        <v>Система и команда</v>
      </c>
      <c r="D5" s="43"/>
      <c r="E5" s="43"/>
    </row>
    <row r="6">
      <c r="B6" s="69" t="str">
        <f>TOP_5_LIMITS!B6</f>
        <v>Доказательства результата</v>
      </c>
      <c r="C6" s="43" t="str">
        <f>IF(5&lt;=2,"Деньги и скорость",IF(5&lt;=4,"Система и команда","Масштабирование"))</f>
        <v>Масштабирование</v>
      </c>
      <c r="D6" s="43"/>
      <c r="E6" s="4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1.86"/>
    <col customWidth="1" min="3" max="3" width="62.0"/>
    <col customWidth="1" min="4" max="26" width="8.71"/>
  </cols>
  <sheetData>
    <row r="1">
      <c r="A1" s="11" t="s">
        <v>65</v>
      </c>
      <c r="B1" s="12"/>
    </row>
    <row r="2">
      <c r="A2" s="13" t="s">
        <v>66</v>
      </c>
      <c r="B2" s="14" t="s">
        <v>67</v>
      </c>
      <c r="C2" s="13" t="s">
        <v>68</v>
      </c>
    </row>
    <row r="3">
      <c r="A3" s="6" t="s">
        <v>3</v>
      </c>
      <c r="B3" s="12">
        <f>AVERAGEIF(GRI_v8!$A:$A,"Product &amp; Demand",GRI_v8!$C:$C)</f>
        <v>6</v>
      </c>
      <c r="C3" s="6" t="str">
        <f t="shared" ref="C3:C9" si="1">IF(B3&lt;4,"Критический блок, без доработки масштабирование невозможно.",
IF(B3&lt;6,"Слабое место, требует приоритетной доработки перед ростом.",
IF(B3&lt;8,"Достаточный уровень, но есть зоны для усиления.",
"Сильная сторона, может быть опорой для масштабирования.")))</f>
        <v>Достаточный уровень, но есть зоны для усиления.</v>
      </c>
    </row>
    <row r="4">
      <c r="A4" s="6" t="s">
        <v>10</v>
      </c>
      <c r="B4" s="15">
        <f>AVERAGEIF(GRI_v8!$A:$A,"Trust &amp; Positioning",GRI_v8!$C:$C)</f>
        <v>5.166666667</v>
      </c>
      <c r="C4" s="6" t="str">
        <f t="shared" si="1"/>
        <v>Слабое место, требует приоритетной доработки перед ростом.</v>
      </c>
    </row>
    <row r="5">
      <c r="A5" s="6" t="s">
        <v>17</v>
      </c>
      <c r="B5" s="12">
        <f>AVERAGEIF(GRI_v8!$A:$A,"Business Model",GRI_v8!$C:$C)</f>
        <v>7.4</v>
      </c>
      <c r="C5" s="6" t="str">
        <f t="shared" si="1"/>
        <v>Достаточный уровень, но есть зоны для усиления.</v>
      </c>
    </row>
    <row r="6">
      <c r="A6" s="6" t="s">
        <v>241</v>
      </c>
      <c r="B6" s="12" t="str">
        <f>AVERAGEIF(GRI_v8!$A:$A,"Deposit/Credit",GRI_v8!$C:$C)</f>
        <v>#DIV/0!</v>
      </c>
      <c r="C6" s="6" t="str">
        <f t="shared" si="1"/>
        <v>#DIV/0!</v>
      </c>
    </row>
    <row r="7">
      <c r="A7" s="6" t="s">
        <v>27</v>
      </c>
      <c r="B7" s="15">
        <f>AVERAGEIF(GRI_v8!$A:$A,"Operations",GRI_v8!$C:$C)</f>
        <v>2.142857143</v>
      </c>
      <c r="C7" s="6" t="str">
        <f t="shared" si="1"/>
        <v>Критический блок, без доработки масштабирование невозможно.</v>
      </c>
    </row>
    <row r="8">
      <c r="A8" s="6" t="s">
        <v>35</v>
      </c>
      <c r="B8" s="15">
        <f>AVERAGEIF(GRI_v8!$A:$A,"Team",GRI_v8!$C:$C)</f>
        <v>2.545454545</v>
      </c>
      <c r="C8" s="6" t="str">
        <f t="shared" si="1"/>
        <v>Критический блок, без доработки масштабирование невозможно.</v>
      </c>
    </row>
    <row r="9">
      <c r="A9" s="6" t="s">
        <v>47</v>
      </c>
      <c r="B9" s="12">
        <f>AVERAGEIF(GRI_v8!$A:$A,"Founder Readiness",GRI_v8!$C:$C)</f>
        <v>6.7</v>
      </c>
      <c r="C9" s="6" t="str">
        <f t="shared" si="1"/>
        <v>Достаточный уровень, но есть зоны для усиления.</v>
      </c>
    </row>
    <row r="10">
      <c r="B10" s="12"/>
    </row>
    <row r="11">
      <c r="B11" s="12"/>
    </row>
    <row r="12">
      <c r="A12" s="16" t="s">
        <v>69</v>
      </c>
      <c r="B12" s="15" t="str">
        <f>B3*0.25 + B4*0.05 + B5*0.1 + B6*0.05 + B7*0.15 + B8*0.2 + B9*0.2</f>
        <v>#DIV/0!</v>
      </c>
    </row>
    <row r="13">
      <c r="A13" s="17"/>
      <c r="B13" s="12"/>
    </row>
    <row r="14">
      <c r="A14" s="18" t="s">
        <v>70</v>
      </c>
      <c r="B14" s="19" t="str">
        <f>IF(B12&lt;4,"Низкая готовность к масштабированию. Масштаб запускать нельзя, требуется глубокий пилот и перестройка модели.",IF(B12&lt;6,"Средняя готовность. Есть потенциал, но высокий риск провала при росте. Нужен пилот и доработка ключевых блоков.",IF(B12&lt;8,"Хорошая основа. Можно готовиться к масштабированию после усиления слабых зон (команда, операции, экономика).","Высокая готовность. При системной работе продукт может выйти на $2M за 12–18 месяцев.")))</f>
        <v>#DIV/0!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/>
      <c r="B15" s="12"/>
    </row>
    <row r="16">
      <c r="A16" s="16" t="s">
        <v>71</v>
      </c>
      <c r="B16" s="12"/>
    </row>
    <row r="17">
      <c r="A17" s="6" t="s">
        <v>72</v>
      </c>
      <c r="B17" s="12"/>
    </row>
    <row r="18">
      <c r="A18" s="6" t="s">
        <v>73</v>
      </c>
      <c r="B18" s="12"/>
    </row>
    <row r="19">
      <c r="A19" s="6" t="s">
        <v>74</v>
      </c>
      <c r="B19" s="12"/>
    </row>
    <row r="20" ht="15.75" customHeight="1">
      <c r="A20" s="6" t="s">
        <v>75</v>
      </c>
      <c r="B20" s="12"/>
    </row>
    <row r="21" ht="15.75" customHeight="1">
      <c r="A21" s="6" t="s">
        <v>76</v>
      </c>
      <c r="B21" s="12"/>
    </row>
    <row r="22" ht="15.75" customHeight="1">
      <c r="B22" s="12"/>
    </row>
    <row r="23" ht="15.75" customHeight="1">
      <c r="A23" s="20" t="s">
        <v>77</v>
      </c>
      <c r="B23" s="19" t="str">
        <f>IF(
  B12&lt;4,
  "В текущей конфигурации вероятность выхода на $2M низкая. Нужна серьёзная перестройка продукта, команды и процессов.",
  IF(
    B12&lt;6,
    "При доработке продукта, команды и операционной системы возможно движение к $2M за 2–3 года.",
    IF(
      B12&lt;8,
      "Есть шанс выйти на $2M за 18–24 месяца при усилении слабых блоков и сохранении дисциплины.",
      "Есть высокий шанс достижения $2M за 12–18 месяцев при системной работе и контроле ключевых метрик."
    )
  )
)</f>
        <v>#DIV/0!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B25" s="12"/>
    </row>
    <row r="26" ht="15.75" customHeight="1">
      <c r="A26" s="6" t="s">
        <v>78</v>
      </c>
      <c r="B26" s="12" t="s">
        <v>653</v>
      </c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>
      <c r="B201" s="12"/>
    </row>
    <row r="202" ht="15.75" customHeight="1">
      <c r="B202" s="12"/>
    </row>
    <row r="203" ht="15.75" customHeight="1">
      <c r="B203" s="12"/>
    </row>
    <row r="204" ht="15.75" customHeight="1">
      <c r="B204" s="12"/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>
      <c r="B405" s="12"/>
    </row>
    <row r="406" ht="15.75" customHeight="1">
      <c r="B406" s="12"/>
    </row>
    <row r="407" ht="15.75" customHeight="1">
      <c r="B407" s="12"/>
    </row>
    <row r="408" ht="15.75" customHeight="1">
      <c r="B408" s="12"/>
    </row>
    <row r="409" ht="15.75" customHeight="1">
      <c r="B409" s="12"/>
    </row>
    <row r="410" ht="15.75" customHeight="1">
      <c r="B410" s="12"/>
    </row>
    <row r="411" ht="15.75" customHeight="1">
      <c r="B411" s="12"/>
    </row>
    <row r="412" ht="15.75" customHeight="1">
      <c r="B412" s="12"/>
    </row>
    <row r="413" ht="15.75" customHeight="1">
      <c r="B413" s="12"/>
    </row>
    <row r="414" ht="15.75" customHeight="1">
      <c r="B414" s="12"/>
    </row>
    <row r="415" ht="15.75" customHeight="1">
      <c r="B415" s="12"/>
    </row>
    <row r="416" ht="15.75" customHeight="1">
      <c r="B416" s="12"/>
    </row>
    <row r="417" ht="15.75" customHeight="1">
      <c r="B417" s="12"/>
    </row>
    <row r="418" ht="15.75" customHeight="1">
      <c r="B418" s="12"/>
    </row>
    <row r="419" ht="15.75" customHeight="1">
      <c r="B419" s="12"/>
    </row>
    <row r="420" ht="15.75" customHeight="1">
      <c r="B420" s="12"/>
    </row>
    <row r="421" ht="15.75" customHeight="1">
      <c r="B421" s="12"/>
    </row>
    <row r="422" ht="15.75" customHeight="1">
      <c r="B422" s="12"/>
    </row>
    <row r="423" ht="15.75" customHeight="1">
      <c r="B423" s="12"/>
    </row>
    <row r="424" ht="15.75" customHeight="1">
      <c r="B424" s="12"/>
    </row>
    <row r="425" ht="15.75" customHeight="1">
      <c r="B425" s="12"/>
    </row>
    <row r="426" ht="15.75" customHeight="1">
      <c r="B426" s="12"/>
    </row>
    <row r="427" ht="15.75" customHeight="1">
      <c r="B427" s="12"/>
    </row>
    <row r="428" ht="15.75" customHeight="1">
      <c r="B428" s="12"/>
    </row>
    <row r="429" ht="15.75" customHeight="1">
      <c r="B429" s="12"/>
    </row>
    <row r="430" ht="15.75" customHeight="1">
      <c r="B430" s="12"/>
    </row>
    <row r="431" ht="15.75" customHeight="1">
      <c r="B431" s="12"/>
    </row>
    <row r="432" ht="15.75" customHeight="1">
      <c r="B432" s="12"/>
    </row>
    <row r="433" ht="15.75" customHeight="1">
      <c r="B433" s="12"/>
    </row>
    <row r="434" ht="15.75" customHeight="1">
      <c r="B434" s="12"/>
    </row>
    <row r="435" ht="15.75" customHeight="1">
      <c r="B435" s="12"/>
    </row>
    <row r="436" ht="15.75" customHeight="1">
      <c r="B436" s="12"/>
    </row>
    <row r="437" ht="15.75" customHeight="1">
      <c r="B437" s="12"/>
    </row>
    <row r="438" ht="15.75" customHeight="1">
      <c r="B438" s="12"/>
    </row>
    <row r="439" ht="15.75" customHeight="1">
      <c r="B439" s="12"/>
    </row>
    <row r="440" ht="15.75" customHeight="1">
      <c r="B440" s="12"/>
    </row>
    <row r="441" ht="15.75" customHeight="1">
      <c r="B441" s="12"/>
    </row>
    <row r="442" ht="15.75" customHeight="1">
      <c r="B442" s="12"/>
    </row>
    <row r="443" ht="15.75" customHeight="1">
      <c r="B443" s="12"/>
    </row>
    <row r="444" ht="15.75" customHeight="1">
      <c r="B444" s="12"/>
    </row>
    <row r="445" ht="15.75" customHeight="1">
      <c r="B445" s="12"/>
    </row>
    <row r="446" ht="15.75" customHeight="1">
      <c r="B446" s="12"/>
    </row>
    <row r="447" ht="15.75" customHeight="1">
      <c r="B447" s="12"/>
    </row>
    <row r="448" ht="15.75" customHeight="1">
      <c r="B448" s="12"/>
    </row>
    <row r="449" ht="15.75" customHeight="1">
      <c r="B449" s="12"/>
    </row>
    <row r="450" ht="15.75" customHeight="1">
      <c r="B450" s="12"/>
    </row>
    <row r="451" ht="15.75" customHeight="1">
      <c r="B451" s="12"/>
    </row>
    <row r="452" ht="15.75" customHeight="1">
      <c r="B452" s="12"/>
    </row>
    <row r="453" ht="15.75" customHeight="1">
      <c r="B453" s="12"/>
    </row>
    <row r="454" ht="15.75" customHeight="1">
      <c r="B454" s="12"/>
    </row>
    <row r="455" ht="15.75" customHeight="1">
      <c r="B455" s="12"/>
    </row>
    <row r="456" ht="15.75" customHeight="1">
      <c r="B456" s="12"/>
    </row>
    <row r="457" ht="15.75" customHeight="1">
      <c r="B457" s="12"/>
    </row>
    <row r="458" ht="15.75" customHeight="1">
      <c r="B458" s="12"/>
    </row>
    <row r="459" ht="15.75" customHeight="1">
      <c r="B459" s="12"/>
    </row>
    <row r="460" ht="15.75" customHeight="1">
      <c r="B460" s="12"/>
    </row>
    <row r="461" ht="15.75" customHeight="1">
      <c r="B461" s="12"/>
    </row>
    <row r="462" ht="15.75" customHeight="1">
      <c r="B462" s="12"/>
    </row>
    <row r="463" ht="15.75" customHeight="1">
      <c r="B463" s="12"/>
    </row>
    <row r="464" ht="15.75" customHeight="1">
      <c r="B464" s="12"/>
    </row>
    <row r="465" ht="15.75" customHeight="1">
      <c r="B465" s="12"/>
    </row>
    <row r="466" ht="15.75" customHeight="1">
      <c r="B466" s="12"/>
    </row>
    <row r="467" ht="15.75" customHeight="1">
      <c r="B467" s="12"/>
    </row>
    <row r="468" ht="15.75" customHeight="1">
      <c r="B468" s="12"/>
    </row>
    <row r="469" ht="15.75" customHeight="1">
      <c r="B469" s="12"/>
    </row>
    <row r="470" ht="15.75" customHeight="1">
      <c r="B470" s="12"/>
    </row>
    <row r="471" ht="15.75" customHeight="1">
      <c r="B471" s="12"/>
    </row>
    <row r="472" ht="15.75" customHeight="1">
      <c r="B472" s="12"/>
    </row>
    <row r="473" ht="15.75" customHeight="1">
      <c r="B473" s="12"/>
    </row>
    <row r="474" ht="15.75" customHeight="1">
      <c r="B474" s="12"/>
    </row>
    <row r="475" ht="15.75" customHeight="1">
      <c r="B475" s="12"/>
    </row>
    <row r="476" ht="15.75" customHeight="1">
      <c r="B476" s="12"/>
    </row>
    <row r="477" ht="15.75" customHeight="1">
      <c r="B477" s="12"/>
    </row>
    <row r="478" ht="15.75" customHeight="1">
      <c r="B478" s="12"/>
    </row>
    <row r="479" ht="15.75" customHeight="1">
      <c r="B479" s="12"/>
    </row>
    <row r="480" ht="15.75" customHeight="1">
      <c r="B480" s="12"/>
    </row>
    <row r="481" ht="15.75" customHeight="1">
      <c r="B481" s="12"/>
    </row>
    <row r="482" ht="15.75" customHeight="1">
      <c r="B482" s="12"/>
    </row>
    <row r="483" ht="15.75" customHeight="1">
      <c r="B483" s="12"/>
    </row>
    <row r="484" ht="15.75" customHeight="1">
      <c r="B484" s="12"/>
    </row>
    <row r="485" ht="15.75" customHeight="1">
      <c r="B485" s="12"/>
    </row>
    <row r="486" ht="15.75" customHeight="1">
      <c r="B486" s="12"/>
    </row>
    <row r="487" ht="15.75" customHeight="1">
      <c r="B487" s="12"/>
    </row>
    <row r="488" ht="15.75" customHeight="1">
      <c r="B488" s="12"/>
    </row>
    <row r="489" ht="15.75" customHeight="1">
      <c r="B489" s="12"/>
    </row>
    <row r="490" ht="15.75" customHeight="1">
      <c r="B490" s="12"/>
    </row>
    <row r="491" ht="15.75" customHeight="1">
      <c r="B491" s="12"/>
    </row>
    <row r="492" ht="15.75" customHeight="1">
      <c r="B492" s="12"/>
    </row>
    <row r="493" ht="15.75" customHeight="1">
      <c r="B493" s="12"/>
    </row>
    <row r="494" ht="15.75" customHeight="1">
      <c r="B494" s="12"/>
    </row>
    <row r="495" ht="15.75" customHeight="1">
      <c r="B495" s="12"/>
    </row>
    <row r="496" ht="15.75" customHeight="1">
      <c r="B496" s="12"/>
    </row>
    <row r="497" ht="15.75" customHeight="1">
      <c r="B497" s="12"/>
    </row>
    <row r="498" ht="15.75" customHeight="1">
      <c r="B498" s="12"/>
    </row>
    <row r="499" ht="15.75" customHeight="1">
      <c r="B499" s="12"/>
    </row>
    <row r="500" ht="15.75" customHeight="1">
      <c r="B500" s="12"/>
    </row>
    <row r="501" ht="15.75" customHeight="1">
      <c r="B501" s="12"/>
    </row>
    <row r="502" ht="15.75" customHeight="1">
      <c r="B502" s="12"/>
    </row>
    <row r="503" ht="15.75" customHeight="1">
      <c r="B503" s="12"/>
    </row>
    <row r="504" ht="15.75" customHeight="1">
      <c r="B504" s="12"/>
    </row>
    <row r="505" ht="15.75" customHeight="1">
      <c r="B505" s="12"/>
    </row>
    <row r="506" ht="15.75" customHeight="1">
      <c r="B506" s="12"/>
    </row>
    <row r="507" ht="15.75" customHeight="1">
      <c r="B507" s="12"/>
    </row>
    <row r="508" ht="15.75" customHeight="1">
      <c r="B508" s="12"/>
    </row>
    <row r="509" ht="15.75" customHeight="1">
      <c r="B509" s="12"/>
    </row>
    <row r="510" ht="15.75" customHeight="1">
      <c r="B510" s="12"/>
    </row>
    <row r="511" ht="15.75" customHeight="1">
      <c r="B511" s="12"/>
    </row>
    <row r="512" ht="15.75" customHeight="1">
      <c r="B512" s="12"/>
    </row>
    <row r="513" ht="15.75" customHeight="1">
      <c r="B513" s="12"/>
    </row>
    <row r="514" ht="15.75" customHeight="1">
      <c r="B514" s="12"/>
    </row>
    <row r="515" ht="15.75" customHeight="1">
      <c r="B515" s="12"/>
    </row>
    <row r="516" ht="15.75" customHeight="1">
      <c r="B516" s="12"/>
    </row>
    <row r="517" ht="15.75" customHeight="1">
      <c r="B517" s="12"/>
    </row>
    <row r="518" ht="15.75" customHeight="1">
      <c r="B518" s="12"/>
    </row>
    <row r="519" ht="15.75" customHeight="1">
      <c r="B519" s="12"/>
    </row>
    <row r="520" ht="15.75" customHeight="1">
      <c r="B520" s="12"/>
    </row>
    <row r="521" ht="15.75" customHeight="1">
      <c r="B521" s="12"/>
    </row>
    <row r="522" ht="15.75" customHeight="1">
      <c r="B522" s="12"/>
    </row>
    <row r="523" ht="15.75" customHeight="1">
      <c r="B523" s="12"/>
    </row>
    <row r="524" ht="15.75" customHeight="1">
      <c r="B524" s="12"/>
    </row>
    <row r="525" ht="15.75" customHeight="1">
      <c r="B525" s="12"/>
    </row>
    <row r="526" ht="15.75" customHeight="1">
      <c r="B526" s="12"/>
    </row>
    <row r="527" ht="15.75" customHeight="1">
      <c r="B527" s="12"/>
    </row>
    <row r="528" ht="15.75" customHeight="1">
      <c r="B528" s="12"/>
    </row>
    <row r="529" ht="15.75" customHeight="1">
      <c r="B529" s="12"/>
    </row>
    <row r="530" ht="15.75" customHeight="1">
      <c r="B530" s="12"/>
    </row>
    <row r="531" ht="15.75" customHeight="1">
      <c r="B531" s="12"/>
    </row>
    <row r="532" ht="15.75" customHeight="1">
      <c r="B532" s="12"/>
    </row>
    <row r="533" ht="15.75" customHeight="1">
      <c r="B533" s="12"/>
    </row>
    <row r="534" ht="15.75" customHeight="1">
      <c r="B534" s="12"/>
    </row>
    <row r="535" ht="15.75" customHeight="1">
      <c r="B535" s="12"/>
    </row>
    <row r="536" ht="15.75" customHeight="1">
      <c r="B536" s="12"/>
    </row>
    <row r="537" ht="15.75" customHeight="1">
      <c r="B537" s="12"/>
    </row>
    <row r="538" ht="15.75" customHeight="1">
      <c r="B538" s="12"/>
    </row>
    <row r="539" ht="15.75" customHeight="1">
      <c r="B539" s="12"/>
    </row>
    <row r="540" ht="15.75" customHeight="1">
      <c r="B540" s="12"/>
    </row>
    <row r="541" ht="15.75" customHeight="1">
      <c r="B541" s="12"/>
    </row>
    <row r="542" ht="15.75" customHeight="1">
      <c r="B542" s="12"/>
    </row>
    <row r="543" ht="15.75" customHeight="1">
      <c r="B543" s="12"/>
    </row>
    <row r="544" ht="15.75" customHeight="1">
      <c r="B544" s="12"/>
    </row>
    <row r="545" ht="15.75" customHeight="1">
      <c r="B545" s="12"/>
    </row>
    <row r="546" ht="15.75" customHeight="1">
      <c r="B546" s="12"/>
    </row>
    <row r="547" ht="15.75" customHeight="1">
      <c r="B547" s="12"/>
    </row>
    <row r="548" ht="15.75" customHeight="1">
      <c r="B548" s="12"/>
    </row>
    <row r="549" ht="15.75" customHeight="1">
      <c r="B549" s="12"/>
    </row>
    <row r="550" ht="15.75" customHeight="1">
      <c r="B550" s="12"/>
    </row>
    <row r="551" ht="15.75" customHeight="1">
      <c r="B551" s="12"/>
    </row>
    <row r="552" ht="15.75" customHeight="1">
      <c r="B552" s="12"/>
    </row>
    <row r="553" ht="15.75" customHeight="1">
      <c r="B553" s="12"/>
    </row>
    <row r="554" ht="15.75" customHeight="1">
      <c r="B554" s="12"/>
    </row>
    <row r="555" ht="15.75" customHeight="1">
      <c r="B555" s="12"/>
    </row>
    <row r="556" ht="15.75" customHeight="1">
      <c r="B556" s="12"/>
    </row>
    <row r="557" ht="15.75" customHeight="1">
      <c r="B557" s="12"/>
    </row>
    <row r="558" ht="15.75" customHeight="1">
      <c r="B558" s="12"/>
    </row>
    <row r="559" ht="15.75" customHeight="1">
      <c r="B559" s="12"/>
    </row>
    <row r="560" ht="15.75" customHeight="1">
      <c r="B560" s="12"/>
    </row>
    <row r="561" ht="15.75" customHeight="1">
      <c r="B561" s="12"/>
    </row>
    <row r="562" ht="15.75" customHeight="1">
      <c r="B562" s="12"/>
    </row>
    <row r="563" ht="15.75" customHeight="1">
      <c r="B563" s="12"/>
    </row>
    <row r="564" ht="15.75" customHeight="1">
      <c r="B564" s="12"/>
    </row>
    <row r="565" ht="15.75" customHeight="1">
      <c r="B565" s="12"/>
    </row>
    <row r="566" ht="15.75" customHeight="1">
      <c r="B566" s="12"/>
    </row>
    <row r="567" ht="15.75" customHeight="1">
      <c r="B567" s="12"/>
    </row>
    <row r="568" ht="15.75" customHeight="1">
      <c r="B568" s="12"/>
    </row>
    <row r="569" ht="15.75" customHeight="1">
      <c r="B569" s="12"/>
    </row>
    <row r="570" ht="15.75" customHeight="1">
      <c r="B570" s="12"/>
    </row>
    <row r="571" ht="15.75" customHeight="1">
      <c r="B571" s="12"/>
    </row>
    <row r="572" ht="15.75" customHeight="1">
      <c r="B572" s="12"/>
    </row>
    <row r="573" ht="15.75" customHeight="1">
      <c r="B573" s="12"/>
    </row>
    <row r="574" ht="15.75" customHeight="1">
      <c r="B574" s="12"/>
    </row>
    <row r="575" ht="15.75" customHeight="1">
      <c r="B575" s="12"/>
    </row>
    <row r="576" ht="15.75" customHeight="1">
      <c r="B576" s="12"/>
    </row>
    <row r="577" ht="15.75" customHeight="1">
      <c r="B577" s="12"/>
    </row>
    <row r="578" ht="15.75" customHeight="1">
      <c r="B578" s="12"/>
    </row>
    <row r="579" ht="15.75" customHeight="1">
      <c r="B579" s="12"/>
    </row>
    <row r="580" ht="15.75" customHeight="1">
      <c r="B580" s="12"/>
    </row>
    <row r="581" ht="15.75" customHeight="1">
      <c r="B581" s="12"/>
    </row>
    <row r="582" ht="15.75" customHeight="1">
      <c r="B582" s="12"/>
    </row>
    <row r="583" ht="15.75" customHeight="1">
      <c r="B583" s="12"/>
    </row>
    <row r="584" ht="15.75" customHeight="1">
      <c r="B584" s="12"/>
    </row>
    <row r="585" ht="15.75" customHeight="1">
      <c r="B585" s="12"/>
    </row>
    <row r="586" ht="15.75" customHeight="1">
      <c r="B586" s="12"/>
    </row>
    <row r="587" ht="15.75" customHeight="1">
      <c r="B587" s="12"/>
    </row>
    <row r="588" ht="15.75" customHeight="1">
      <c r="B588" s="12"/>
    </row>
    <row r="589" ht="15.75" customHeight="1">
      <c r="B589" s="12"/>
    </row>
    <row r="590" ht="15.75" customHeight="1">
      <c r="B590" s="12"/>
    </row>
    <row r="591" ht="15.75" customHeight="1">
      <c r="B591" s="12"/>
    </row>
    <row r="592" ht="15.75" customHeight="1">
      <c r="B592" s="12"/>
    </row>
    <row r="593" ht="15.75" customHeight="1">
      <c r="B593" s="12"/>
    </row>
    <row r="594" ht="15.75" customHeight="1">
      <c r="B594" s="12"/>
    </row>
    <row r="595" ht="15.75" customHeight="1">
      <c r="B595" s="12"/>
    </row>
    <row r="596" ht="15.75" customHeight="1">
      <c r="B596" s="12"/>
    </row>
    <row r="597" ht="15.75" customHeight="1">
      <c r="B597" s="12"/>
    </row>
    <row r="598" ht="15.75" customHeight="1">
      <c r="B598" s="12"/>
    </row>
    <row r="599" ht="15.75" customHeight="1">
      <c r="B599" s="12"/>
    </row>
    <row r="600" ht="15.75" customHeight="1">
      <c r="B600" s="12"/>
    </row>
    <row r="601" ht="15.75" customHeight="1">
      <c r="B601" s="12"/>
    </row>
    <row r="602" ht="15.75" customHeight="1">
      <c r="B602" s="12"/>
    </row>
    <row r="603" ht="15.75" customHeight="1">
      <c r="B603" s="12"/>
    </row>
    <row r="604" ht="15.75" customHeight="1">
      <c r="B604" s="12"/>
    </row>
    <row r="605" ht="15.75" customHeight="1">
      <c r="B605" s="12"/>
    </row>
    <row r="606" ht="15.75" customHeight="1">
      <c r="B606" s="12"/>
    </row>
    <row r="607" ht="15.75" customHeight="1">
      <c r="B607" s="12"/>
    </row>
    <row r="608" ht="15.75" customHeight="1">
      <c r="B608" s="12"/>
    </row>
    <row r="609" ht="15.75" customHeight="1">
      <c r="B609" s="12"/>
    </row>
    <row r="610" ht="15.75" customHeight="1">
      <c r="B610" s="12"/>
    </row>
    <row r="611" ht="15.75" customHeight="1">
      <c r="B611" s="12"/>
    </row>
    <row r="612" ht="15.75" customHeight="1">
      <c r="B612" s="12"/>
    </row>
    <row r="613" ht="15.75" customHeight="1">
      <c r="B613" s="12"/>
    </row>
    <row r="614" ht="15.75" customHeight="1">
      <c r="B614" s="12"/>
    </row>
    <row r="615" ht="15.75" customHeight="1">
      <c r="B615" s="12"/>
    </row>
    <row r="616" ht="15.75" customHeight="1">
      <c r="B616" s="12"/>
    </row>
    <row r="617" ht="15.75" customHeight="1">
      <c r="B617" s="12"/>
    </row>
    <row r="618" ht="15.75" customHeight="1">
      <c r="B618" s="12"/>
    </row>
    <row r="619" ht="15.75" customHeight="1">
      <c r="B619" s="12"/>
    </row>
    <row r="620" ht="15.75" customHeight="1">
      <c r="B620" s="12"/>
    </row>
    <row r="621" ht="15.75" customHeight="1">
      <c r="B621" s="12"/>
    </row>
    <row r="622" ht="15.75" customHeight="1">
      <c r="B622" s="12"/>
    </row>
    <row r="623" ht="15.75" customHeight="1">
      <c r="B623" s="12"/>
    </row>
    <row r="624" ht="15.75" customHeight="1">
      <c r="B624" s="12"/>
    </row>
    <row r="625" ht="15.75" customHeight="1">
      <c r="B625" s="12"/>
    </row>
    <row r="626" ht="15.75" customHeight="1">
      <c r="B626" s="12"/>
    </row>
    <row r="627" ht="15.75" customHeight="1">
      <c r="B627" s="12"/>
    </row>
    <row r="628" ht="15.75" customHeight="1">
      <c r="B628" s="12"/>
    </row>
    <row r="629" ht="15.75" customHeight="1">
      <c r="B629" s="12"/>
    </row>
    <row r="630" ht="15.75" customHeight="1">
      <c r="B630" s="12"/>
    </row>
    <row r="631" ht="15.75" customHeight="1">
      <c r="B631" s="12"/>
    </row>
    <row r="632" ht="15.75" customHeight="1">
      <c r="B632" s="12"/>
    </row>
    <row r="633" ht="15.75" customHeight="1">
      <c r="B633" s="12"/>
    </row>
    <row r="634" ht="15.75" customHeight="1">
      <c r="B634" s="12"/>
    </row>
    <row r="635" ht="15.75" customHeight="1">
      <c r="B635" s="12"/>
    </row>
    <row r="636" ht="15.75" customHeight="1">
      <c r="B636" s="12"/>
    </row>
    <row r="637" ht="15.75" customHeight="1">
      <c r="B637" s="12"/>
    </row>
    <row r="638" ht="15.75" customHeight="1">
      <c r="B638" s="12"/>
    </row>
    <row r="639" ht="15.75" customHeight="1">
      <c r="B639" s="12"/>
    </row>
    <row r="640" ht="15.75" customHeight="1">
      <c r="B640" s="12"/>
    </row>
    <row r="641" ht="15.75" customHeight="1">
      <c r="B641" s="12"/>
    </row>
    <row r="642" ht="15.75" customHeight="1">
      <c r="B642" s="12"/>
    </row>
    <row r="643" ht="15.75" customHeight="1">
      <c r="B643" s="12"/>
    </row>
    <row r="644" ht="15.75" customHeight="1">
      <c r="B644" s="12"/>
    </row>
    <row r="645" ht="15.75" customHeight="1">
      <c r="B645" s="12"/>
    </row>
    <row r="646" ht="15.75" customHeight="1">
      <c r="B646" s="12"/>
    </row>
    <row r="647" ht="15.75" customHeight="1">
      <c r="B647" s="12"/>
    </row>
    <row r="648" ht="15.75" customHeight="1">
      <c r="B648" s="12"/>
    </row>
    <row r="649" ht="15.75" customHeight="1">
      <c r="B649" s="12"/>
    </row>
    <row r="650" ht="15.75" customHeight="1">
      <c r="B650" s="12"/>
    </row>
    <row r="651" ht="15.75" customHeight="1">
      <c r="B651" s="12"/>
    </row>
    <row r="652" ht="15.75" customHeight="1">
      <c r="B652" s="12"/>
    </row>
    <row r="653" ht="15.75" customHeight="1">
      <c r="B653" s="12"/>
    </row>
    <row r="654" ht="15.75" customHeight="1">
      <c r="B654" s="12"/>
    </row>
    <row r="655" ht="15.75" customHeight="1">
      <c r="B655" s="12"/>
    </row>
    <row r="656" ht="15.75" customHeight="1">
      <c r="B656" s="12"/>
    </row>
    <row r="657" ht="15.75" customHeight="1">
      <c r="B657" s="12"/>
    </row>
    <row r="658" ht="15.75" customHeight="1">
      <c r="B658" s="12"/>
    </row>
    <row r="659" ht="15.75" customHeight="1">
      <c r="B659" s="12"/>
    </row>
    <row r="660" ht="15.75" customHeight="1">
      <c r="B660" s="12"/>
    </row>
    <row r="661" ht="15.75" customHeight="1">
      <c r="B661" s="12"/>
    </row>
    <row r="662" ht="15.75" customHeight="1">
      <c r="B662" s="12"/>
    </row>
    <row r="663" ht="15.75" customHeight="1">
      <c r="B663" s="12"/>
    </row>
    <row r="664" ht="15.75" customHeight="1">
      <c r="B664" s="12"/>
    </row>
    <row r="665" ht="15.75" customHeight="1">
      <c r="B665" s="12"/>
    </row>
    <row r="666" ht="15.75" customHeight="1">
      <c r="B666" s="12"/>
    </row>
    <row r="667" ht="15.75" customHeight="1">
      <c r="B667" s="12"/>
    </row>
    <row r="668" ht="15.75" customHeight="1">
      <c r="B668" s="12"/>
    </row>
    <row r="669" ht="15.75" customHeight="1">
      <c r="B669" s="12"/>
    </row>
    <row r="670" ht="15.75" customHeight="1">
      <c r="B670" s="12"/>
    </row>
    <row r="671" ht="15.75" customHeight="1">
      <c r="B671" s="12"/>
    </row>
    <row r="672" ht="15.75" customHeight="1">
      <c r="B672" s="12"/>
    </row>
    <row r="673" ht="15.75" customHeight="1">
      <c r="B673" s="12"/>
    </row>
    <row r="674" ht="15.75" customHeight="1">
      <c r="B674" s="12"/>
    </row>
    <row r="675" ht="15.75" customHeight="1">
      <c r="B675" s="12"/>
    </row>
    <row r="676" ht="15.75" customHeight="1">
      <c r="B676" s="12"/>
    </row>
    <row r="677" ht="15.75" customHeight="1">
      <c r="B677" s="12"/>
    </row>
    <row r="678" ht="15.75" customHeight="1">
      <c r="B678" s="12"/>
    </row>
    <row r="679" ht="15.75" customHeight="1">
      <c r="B679" s="12"/>
    </row>
    <row r="680" ht="15.75" customHeight="1">
      <c r="B680" s="12"/>
    </row>
    <row r="681" ht="15.75" customHeight="1">
      <c r="B681" s="12"/>
    </row>
    <row r="682" ht="15.75" customHeight="1">
      <c r="B682" s="12"/>
    </row>
    <row r="683" ht="15.75" customHeight="1">
      <c r="B683" s="12"/>
    </row>
    <row r="684" ht="15.75" customHeight="1">
      <c r="B684" s="12"/>
    </row>
    <row r="685" ht="15.75" customHeight="1">
      <c r="B685" s="12"/>
    </row>
    <row r="686" ht="15.75" customHeight="1">
      <c r="B686" s="12"/>
    </row>
    <row r="687" ht="15.75" customHeight="1">
      <c r="B687" s="12"/>
    </row>
    <row r="688" ht="15.75" customHeight="1">
      <c r="B688" s="12"/>
    </row>
    <row r="689" ht="15.75" customHeight="1">
      <c r="B689" s="12"/>
    </row>
    <row r="690" ht="15.75" customHeight="1">
      <c r="B690" s="12"/>
    </row>
    <row r="691" ht="15.75" customHeight="1">
      <c r="B691" s="12"/>
    </row>
    <row r="692" ht="15.75" customHeight="1">
      <c r="B692" s="12"/>
    </row>
    <row r="693" ht="15.75" customHeight="1">
      <c r="B693" s="12"/>
    </row>
    <row r="694" ht="15.75" customHeight="1">
      <c r="B694" s="12"/>
    </row>
    <row r="695" ht="15.75" customHeight="1">
      <c r="B695" s="12"/>
    </row>
    <row r="696" ht="15.75" customHeight="1">
      <c r="B696" s="12"/>
    </row>
    <row r="697" ht="15.75" customHeight="1">
      <c r="B697" s="12"/>
    </row>
    <row r="698" ht="15.75" customHeight="1">
      <c r="B698" s="12"/>
    </row>
    <row r="699" ht="15.75" customHeight="1">
      <c r="B699" s="12"/>
    </row>
    <row r="700" ht="15.75" customHeight="1">
      <c r="B700" s="12"/>
    </row>
    <row r="701" ht="15.75" customHeight="1">
      <c r="B701" s="12"/>
    </row>
    <row r="702" ht="15.75" customHeight="1">
      <c r="B702" s="12"/>
    </row>
    <row r="703" ht="15.75" customHeight="1">
      <c r="B703" s="12"/>
    </row>
    <row r="704" ht="15.75" customHeight="1">
      <c r="B704" s="12"/>
    </row>
    <row r="705" ht="15.75" customHeight="1">
      <c r="B705" s="12"/>
    </row>
    <row r="706" ht="15.75" customHeight="1">
      <c r="B706" s="12"/>
    </row>
    <row r="707" ht="15.75" customHeight="1">
      <c r="B707" s="12"/>
    </row>
    <row r="708" ht="15.75" customHeight="1">
      <c r="B708" s="12"/>
    </row>
    <row r="709" ht="15.75" customHeight="1">
      <c r="B709" s="12"/>
    </row>
    <row r="710" ht="15.75" customHeight="1">
      <c r="B710" s="12"/>
    </row>
    <row r="711" ht="15.75" customHeight="1">
      <c r="B711" s="12"/>
    </row>
    <row r="712" ht="15.75" customHeight="1">
      <c r="B712" s="12"/>
    </row>
    <row r="713" ht="15.75" customHeight="1">
      <c r="B713" s="12"/>
    </row>
    <row r="714" ht="15.75" customHeight="1">
      <c r="B714" s="12"/>
    </row>
    <row r="715" ht="15.75" customHeight="1">
      <c r="B715" s="12"/>
    </row>
    <row r="716" ht="15.75" customHeight="1">
      <c r="B716" s="12"/>
    </row>
    <row r="717" ht="15.75" customHeight="1">
      <c r="B717" s="12"/>
    </row>
    <row r="718" ht="15.75" customHeight="1">
      <c r="B718" s="12"/>
    </row>
    <row r="719" ht="15.75" customHeight="1">
      <c r="B719" s="12"/>
    </row>
    <row r="720" ht="15.75" customHeight="1">
      <c r="B720" s="12"/>
    </row>
    <row r="721" ht="15.75" customHeight="1">
      <c r="B721" s="12"/>
    </row>
    <row r="722" ht="15.75" customHeight="1">
      <c r="B722" s="12"/>
    </row>
    <row r="723" ht="15.75" customHeight="1">
      <c r="B723" s="12"/>
    </row>
    <row r="724" ht="15.75" customHeight="1">
      <c r="B724" s="12"/>
    </row>
    <row r="725" ht="15.75" customHeight="1">
      <c r="B725" s="12"/>
    </row>
    <row r="726" ht="15.75" customHeight="1">
      <c r="B726" s="12"/>
    </row>
    <row r="727" ht="15.75" customHeight="1">
      <c r="B727" s="12"/>
    </row>
    <row r="728" ht="15.75" customHeight="1">
      <c r="B728" s="12"/>
    </row>
    <row r="729" ht="15.75" customHeight="1">
      <c r="B729" s="12"/>
    </row>
    <row r="730" ht="15.75" customHeight="1">
      <c r="B730" s="12"/>
    </row>
    <row r="731" ht="15.75" customHeight="1">
      <c r="B731" s="12"/>
    </row>
    <row r="732" ht="15.75" customHeight="1">
      <c r="B732" s="12"/>
    </row>
    <row r="733" ht="15.75" customHeight="1">
      <c r="B733" s="12"/>
    </row>
    <row r="734" ht="15.75" customHeight="1">
      <c r="B734" s="12"/>
    </row>
    <row r="735" ht="15.75" customHeight="1">
      <c r="B735" s="12"/>
    </row>
    <row r="736" ht="15.75" customHeight="1">
      <c r="B736" s="12"/>
    </row>
    <row r="737" ht="15.75" customHeight="1">
      <c r="B737" s="12"/>
    </row>
    <row r="738" ht="15.75" customHeight="1">
      <c r="B738" s="12"/>
    </row>
    <row r="739" ht="15.75" customHeight="1">
      <c r="B739" s="12"/>
    </row>
    <row r="740" ht="15.75" customHeight="1">
      <c r="B740" s="12"/>
    </row>
    <row r="741" ht="15.75" customHeight="1">
      <c r="B741" s="12"/>
    </row>
    <row r="742" ht="15.75" customHeight="1">
      <c r="B742" s="12"/>
    </row>
    <row r="743" ht="15.75" customHeight="1">
      <c r="B743" s="12"/>
    </row>
    <row r="744" ht="15.75" customHeight="1">
      <c r="B744" s="12"/>
    </row>
    <row r="745" ht="15.75" customHeight="1">
      <c r="B745" s="12"/>
    </row>
    <row r="746" ht="15.75" customHeight="1">
      <c r="B746" s="12"/>
    </row>
    <row r="747" ht="15.75" customHeight="1">
      <c r="B747" s="12"/>
    </row>
    <row r="748" ht="15.75" customHeight="1">
      <c r="B748" s="12"/>
    </row>
    <row r="749" ht="15.75" customHeight="1">
      <c r="B749" s="12"/>
    </row>
    <row r="750" ht="15.75" customHeight="1">
      <c r="B750" s="12"/>
    </row>
    <row r="751" ht="15.75" customHeight="1">
      <c r="B751" s="12"/>
    </row>
    <row r="752" ht="15.75" customHeight="1">
      <c r="B752" s="12"/>
    </row>
    <row r="753" ht="15.75" customHeight="1">
      <c r="B753" s="12"/>
    </row>
    <row r="754" ht="15.75" customHeight="1">
      <c r="B754" s="12"/>
    </row>
    <row r="755" ht="15.75" customHeight="1">
      <c r="B755" s="12"/>
    </row>
    <row r="756" ht="15.75" customHeight="1">
      <c r="B756" s="12"/>
    </row>
    <row r="757" ht="15.75" customHeight="1">
      <c r="B757" s="12"/>
    </row>
    <row r="758" ht="15.75" customHeight="1">
      <c r="B758" s="12"/>
    </row>
    <row r="759" ht="15.75" customHeight="1">
      <c r="B759" s="12"/>
    </row>
    <row r="760" ht="15.75" customHeight="1">
      <c r="B760" s="12"/>
    </row>
    <row r="761" ht="15.75" customHeight="1">
      <c r="B761" s="12"/>
    </row>
    <row r="762" ht="15.75" customHeight="1">
      <c r="B762" s="12"/>
    </row>
    <row r="763" ht="15.75" customHeight="1">
      <c r="B763" s="12"/>
    </row>
    <row r="764" ht="15.75" customHeight="1">
      <c r="B764" s="12"/>
    </row>
    <row r="765" ht="15.75" customHeight="1">
      <c r="B765" s="12"/>
    </row>
    <row r="766" ht="15.75" customHeight="1">
      <c r="B766" s="12"/>
    </row>
    <row r="767" ht="15.75" customHeight="1">
      <c r="B767" s="12"/>
    </row>
    <row r="768" ht="15.75" customHeight="1">
      <c r="B768" s="12"/>
    </row>
    <row r="769" ht="15.75" customHeight="1">
      <c r="B769" s="12"/>
    </row>
    <row r="770" ht="15.75" customHeight="1">
      <c r="B770" s="12"/>
    </row>
    <row r="771" ht="15.75" customHeight="1">
      <c r="B771" s="12"/>
    </row>
    <row r="772" ht="15.75" customHeight="1">
      <c r="B772" s="12"/>
    </row>
    <row r="773" ht="15.75" customHeight="1">
      <c r="B773" s="12"/>
    </row>
    <row r="774" ht="15.75" customHeight="1">
      <c r="B774" s="12"/>
    </row>
    <row r="775" ht="15.75" customHeight="1">
      <c r="B775" s="12"/>
    </row>
    <row r="776" ht="15.75" customHeight="1">
      <c r="B776" s="12"/>
    </row>
    <row r="777" ht="15.75" customHeight="1">
      <c r="B777" s="12"/>
    </row>
    <row r="778" ht="15.75" customHeight="1">
      <c r="B778" s="12"/>
    </row>
    <row r="779" ht="15.75" customHeight="1">
      <c r="B779" s="12"/>
    </row>
    <row r="780" ht="15.75" customHeight="1">
      <c r="B780" s="12"/>
    </row>
    <row r="781" ht="15.75" customHeight="1">
      <c r="B781" s="12"/>
    </row>
    <row r="782" ht="15.75" customHeight="1">
      <c r="B782" s="12"/>
    </row>
    <row r="783" ht="15.75" customHeight="1">
      <c r="B783" s="12"/>
    </row>
    <row r="784" ht="15.75" customHeight="1">
      <c r="B784" s="12"/>
    </row>
    <row r="785" ht="15.75" customHeight="1">
      <c r="B785" s="12"/>
    </row>
    <row r="786" ht="15.75" customHeight="1">
      <c r="B786" s="12"/>
    </row>
    <row r="787" ht="15.75" customHeight="1">
      <c r="B787" s="12"/>
    </row>
    <row r="788" ht="15.75" customHeight="1">
      <c r="B788" s="12"/>
    </row>
    <row r="789" ht="15.75" customHeight="1">
      <c r="B789" s="12"/>
    </row>
    <row r="790" ht="15.75" customHeight="1">
      <c r="B790" s="12"/>
    </row>
    <row r="791" ht="15.75" customHeight="1">
      <c r="B791" s="12"/>
    </row>
    <row r="792" ht="15.75" customHeight="1">
      <c r="B792" s="12"/>
    </row>
    <row r="793" ht="15.75" customHeight="1">
      <c r="B793" s="12"/>
    </row>
    <row r="794" ht="15.75" customHeight="1">
      <c r="B794" s="12"/>
    </row>
    <row r="795" ht="15.75" customHeight="1">
      <c r="B795" s="12"/>
    </row>
    <row r="796" ht="15.75" customHeight="1">
      <c r="B796" s="12"/>
    </row>
    <row r="797" ht="15.75" customHeight="1">
      <c r="B797" s="12"/>
    </row>
    <row r="798" ht="15.75" customHeight="1">
      <c r="B798" s="12"/>
    </row>
    <row r="799" ht="15.75" customHeight="1">
      <c r="B799" s="12"/>
    </row>
    <row r="800" ht="15.75" customHeight="1">
      <c r="B800" s="12"/>
    </row>
    <row r="801" ht="15.75" customHeight="1">
      <c r="B801" s="12"/>
    </row>
    <row r="802" ht="15.75" customHeight="1">
      <c r="B802" s="12"/>
    </row>
    <row r="803" ht="15.75" customHeight="1">
      <c r="B803" s="12"/>
    </row>
    <row r="804" ht="15.75" customHeight="1">
      <c r="B804" s="12"/>
    </row>
    <row r="805" ht="15.75" customHeight="1">
      <c r="B805" s="12"/>
    </row>
    <row r="806" ht="15.75" customHeight="1">
      <c r="B806" s="12"/>
    </row>
    <row r="807" ht="15.75" customHeight="1">
      <c r="B807" s="12"/>
    </row>
    <row r="808" ht="15.75" customHeight="1">
      <c r="B808" s="12"/>
    </row>
    <row r="809" ht="15.75" customHeight="1">
      <c r="B809" s="12"/>
    </row>
    <row r="810" ht="15.75" customHeight="1">
      <c r="B810" s="12"/>
    </row>
    <row r="811" ht="15.75" customHeight="1">
      <c r="B811" s="12"/>
    </row>
    <row r="812" ht="15.75" customHeight="1">
      <c r="B812" s="12"/>
    </row>
    <row r="813" ht="15.75" customHeight="1">
      <c r="B813" s="12"/>
    </row>
    <row r="814" ht="15.75" customHeight="1">
      <c r="B814" s="12"/>
    </row>
    <row r="815" ht="15.75" customHeight="1">
      <c r="B815" s="12"/>
    </row>
    <row r="816" ht="15.75" customHeight="1">
      <c r="B816" s="12"/>
    </row>
    <row r="817" ht="15.75" customHeight="1">
      <c r="B817" s="12"/>
    </row>
    <row r="818" ht="15.75" customHeight="1">
      <c r="B818" s="12"/>
    </row>
    <row r="819" ht="15.75" customHeight="1">
      <c r="B819" s="12"/>
    </row>
    <row r="820" ht="15.75" customHeight="1">
      <c r="B820" s="12"/>
    </row>
    <row r="821" ht="15.75" customHeight="1">
      <c r="B821" s="12"/>
    </row>
    <row r="822" ht="15.75" customHeight="1">
      <c r="B822" s="12"/>
    </row>
    <row r="823" ht="15.75" customHeight="1">
      <c r="B823" s="12"/>
    </row>
    <row r="824" ht="15.75" customHeight="1">
      <c r="B824" s="12"/>
    </row>
    <row r="825" ht="15.75" customHeight="1">
      <c r="B825" s="12"/>
    </row>
    <row r="826" ht="15.75" customHeight="1">
      <c r="B826" s="12"/>
    </row>
    <row r="827" ht="15.75" customHeight="1">
      <c r="B827" s="12"/>
    </row>
    <row r="828" ht="15.75" customHeight="1">
      <c r="B828" s="12"/>
    </row>
    <row r="829" ht="15.75" customHeight="1">
      <c r="B829" s="12"/>
    </row>
    <row r="830" ht="15.75" customHeight="1">
      <c r="B830" s="12"/>
    </row>
    <row r="831" ht="15.75" customHeight="1">
      <c r="B831" s="12"/>
    </row>
    <row r="832" ht="15.75" customHeight="1">
      <c r="B832" s="12"/>
    </row>
    <row r="833" ht="15.75" customHeight="1">
      <c r="B833" s="12"/>
    </row>
    <row r="834" ht="15.75" customHeight="1">
      <c r="B834" s="12"/>
    </row>
    <row r="835" ht="15.75" customHeight="1">
      <c r="B835" s="12"/>
    </row>
    <row r="836" ht="15.75" customHeight="1">
      <c r="B836" s="12"/>
    </row>
    <row r="837" ht="15.75" customHeight="1">
      <c r="B837" s="12"/>
    </row>
    <row r="838" ht="15.75" customHeight="1">
      <c r="B838" s="12"/>
    </row>
    <row r="839" ht="15.75" customHeight="1">
      <c r="B839" s="12"/>
    </row>
    <row r="840" ht="15.75" customHeight="1">
      <c r="B840" s="12"/>
    </row>
    <row r="841" ht="15.75" customHeight="1">
      <c r="B841" s="12"/>
    </row>
    <row r="842" ht="15.75" customHeight="1">
      <c r="B842" s="12"/>
    </row>
    <row r="843" ht="15.75" customHeight="1">
      <c r="B843" s="12"/>
    </row>
    <row r="844" ht="15.75" customHeight="1">
      <c r="B844" s="12"/>
    </row>
    <row r="845" ht="15.75" customHeight="1">
      <c r="B845" s="12"/>
    </row>
    <row r="846" ht="15.75" customHeight="1">
      <c r="B846" s="12"/>
    </row>
    <row r="847" ht="15.75" customHeight="1">
      <c r="B847" s="12"/>
    </row>
    <row r="848" ht="15.75" customHeight="1">
      <c r="B848" s="12"/>
    </row>
    <row r="849" ht="15.75" customHeight="1">
      <c r="B849" s="12"/>
    </row>
    <row r="850" ht="15.75" customHeight="1">
      <c r="B850" s="12"/>
    </row>
    <row r="851" ht="15.75" customHeight="1">
      <c r="B851" s="12"/>
    </row>
    <row r="852" ht="15.75" customHeight="1">
      <c r="B852" s="12"/>
    </row>
    <row r="853" ht="15.75" customHeight="1">
      <c r="B853" s="12"/>
    </row>
    <row r="854" ht="15.75" customHeight="1">
      <c r="B854" s="12"/>
    </row>
    <row r="855" ht="15.75" customHeight="1">
      <c r="B855" s="12"/>
    </row>
    <row r="856" ht="15.75" customHeight="1">
      <c r="B856" s="12"/>
    </row>
    <row r="857" ht="15.75" customHeight="1">
      <c r="B857" s="12"/>
    </row>
    <row r="858" ht="15.75" customHeight="1">
      <c r="B858" s="12"/>
    </row>
    <row r="859" ht="15.75" customHeight="1">
      <c r="B859" s="12"/>
    </row>
    <row r="860" ht="15.75" customHeight="1">
      <c r="B860" s="12"/>
    </row>
    <row r="861" ht="15.75" customHeight="1">
      <c r="B861" s="12"/>
    </row>
    <row r="862" ht="15.75" customHeight="1">
      <c r="B862" s="12"/>
    </row>
    <row r="863" ht="15.75" customHeight="1">
      <c r="B863" s="12"/>
    </row>
    <row r="864" ht="15.75" customHeight="1">
      <c r="B864" s="12"/>
    </row>
    <row r="865" ht="15.75" customHeight="1">
      <c r="B865" s="12"/>
    </row>
    <row r="866" ht="15.75" customHeight="1">
      <c r="B866" s="12"/>
    </row>
    <row r="867" ht="15.75" customHeight="1">
      <c r="B867" s="12"/>
    </row>
    <row r="868" ht="15.75" customHeight="1">
      <c r="B868" s="12"/>
    </row>
    <row r="869" ht="15.75" customHeight="1">
      <c r="B869" s="12"/>
    </row>
    <row r="870" ht="15.75" customHeight="1">
      <c r="B870" s="12"/>
    </row>
    <row r="871" ht="15.75" customHeight="1">
      <c r="B871" s="12"/>
    </row>
    <row r="872" ht="15.75" customHeight="1">
      <c r="B872" s="12"/>
    </row>
    <row r="873" ht="15.75" customHeight="1">
      <c r="B873" s="12"/>
    </row>
    <row r="874" ht="15.75" customHeight="1">
      <c r="B874" s="12"/>
    </row>
    <row r="875" ht="15.75" customHeight="1">
      <c r="B875" s="12"/>
    </row>
    <row r="876" ht="15.75" customHeight="1">
      <c r="B876" s="12"/>
    </row>
    <row r="877" ht="15.75" customHeight="1">
      <c r="B877" s="12"/>
    </row>
    <row r="878" ht="15.75" customHeight="1">
      <c r="B878" s="12"/>
    </row>
    <row r="879" ht="15.75" customHeight="1">
      <c r="B879" s="12"/>
    </row>
    <row r="880" ht="15.75" customHeight="1">
      <c r="B880" s="12"/>
    </row>
    <row r="881" ht="15.75" customHeight="1">
      <c r="B881" s="12"/>
    </row>
    <row r="882" ht="15.75" customHeight="1">
      <c r="B882" s="12"/>
    </row>
    <row r="883" ht="15.75" customHeight="1">
      <c r="B883" s="12"/>
    </row>
    <row r="884" ht="15.75" customHeight="1">
      <c r="B884" s="12"/>
    </row>
    <row r="885" ht="15.75" customHeight="1">
      <c r="B885" s="12"/>
    </row>
    <row r="886" ht="15.75" customHeight="1">
      <c r="B886" s="12"/>
    </row>
    <row r="887" ht="15.75" customHeight="1">
      <c r="B887" s="12"/>
    </row>
    <row r="888" ht="15.75" customHeight="1">
      <c r="B888" s="12"/>
    </row>
    <row r="889" ht="15.75" customHeight="1">
      <c r="B889" s="12"/>
    </row>
    <row r="890" ht="15.75" customHeight="1">
      <c r="B890" s="12"/>
    </row>
    <row r="891" ht="15.75" customHeight="1">
      <c r="B891" s="12"/>
    </row>
    <row r="892" ht="15.75" customHeight="1">
      <c r="B892" s="12"/>
    </row>
    <row r="893" ht="15.75" customHeight="1">
      <c r="B893" s="12"/>
    </row>
    <row r="894" ht="15.75" customHeight="1">
      <c r="B894" s="12"/>
    </row>
    <row r="895" ht="15.75" customHeight="1">
      <c r="B895" s="12"/>
    </row>
    <row r="896" ht="15.75" customHeight="1">
      <c r="B896" s="12"/>
    </row>
    <row r="897" ht="15.75" customHeight="1">
      <c r="B897" s="12"/>
    </row>
    <row r="898" ht="15.75" customHeight="1">
      <c r="B898" s="12"/>
    </row>
    <row r="899" ht="15.75" customHeight="1">
      <c r="B899" s="12"/>
    </row>
    <row r="900" ht="15.75" customHeight="1">
      <c r="B900" s="12"/>
    </row>
    <row r="901" ht="15.75" customHeight="1">
      <c r="B901" s="12"/>
    </row>
    <row r="902" ht="15.75" customHeight="1">
      <c r="B902" s="12"/>
    </row>
    <row r="903" ht="15.75" customHeight="1">
      <c r="B903" s="12"/>
    </row>
    <row r="904" ht="15.75" customHeight="1">
      <c r="B904" s="12"/>
    </row>
    <row r="905" ht="15.75" customHeight="1">
      <c r="B905" s="12"/>
    </row>
    <row r="906" ht="15.75" customHeight="1">
      <c r="B906" s="12"/>
    </row>
    <row r="907" ht="15.75" customHeight="1">
      <c r="B907" s="12"/>
    </row>
    <row r="908" ht="15.75" customHeight="1">
      <c r="B908" s="12"/>
    </row>
    <row r="909" ht="15.75" customHeight="1">
      <c r="B909" s="12"/>
    </row>
    <row r="910" ht="15.75" customHeight="1">
      <c r="B910" s="12"/>
    </row>
    <row r="911" ht="15.75" customHeight="1">
      <c r="B911" s="12"/>
    </row>
    <row r="912" ht="15.75" customHeight="1">
      <c r="B912" s="12"/>
    </row>
    <row r="913" ht="15.75" customHeight="1">
      <c r="B913" s="12"/>
    </row>
    <row r="914" ht="15.75" customHeight="1">
      <c r="B914" s="12"/>
    </row>
    <row r="915" ht="15.75" customHeight="1">
      <c r="B915" s="12"/>
    </row>
    <row r="916" ht="15.75" customHeight="1">
      <c r="B916" s="12"/>
    </row>
    <row r="917" ht="15.75" customHeight="1">
      <c r="B917" s="12"/>
    </row>
    <row r="918" ht="15.75" customHeight="1">
      <c r="B918" s="12"/>
    </row>
    <row r="919" ht="15.75" customHeight="1">
      <c r="B919" s="12"/>
    </row>
    <row r="920" ht="15.75" customHeight="1">
      <c r="B920" s="12"/>
    </row>
    <row r="921" ht="15.75" customHeight="1">
      <c r="B921" s="12"/>
    </row>
    <row r="922" ht="15.75" customHeight="1">
      <c r="B922" s="12"/>
    </row>
    <row r="923" ht="15.75" customHeight="1">
      <c r="B923" s="12"/>
    </row>
    <row r="924" ht="15.75" customHeight="1">
      <c r="B924" s="12"/>
    </row>
    <row r="925" ht="15.75" customHeight="1">
      <c r="B925" s="12"/>
    </row>
    <row r="926" ht="15.75" customHeight="1">
      <c r="B926" s="12"/>
    </row>
    <row r="927" ht="15.75" customHeight="1">
      <c r="B927" s="12"/>
    </row>
    <row r="928" ht="15.75" customHeight="1">
      <c r="B928" s="12"/>
    </row>
    <row r="929" ht="15.75" customHeight="1">
      <c r="B929" s="12"/>
    </row>
    <row r="930" ht="15.75" customHeight="1">
      <c r="B930" s="12"/>
    </row>
    <row r="931" ht="15.75" customHeight="1">
      <c r="B931" s="12"/>
    </row>
    <row r="932" ht="15.75" customHeight="1">
      <c r="B932" s="12"/>
    </row>
    <row r="933" ht="15.75" customHeight="1">
      <c r="B933" s="12"/>
    </row>
    <row r="934" ht="15.75" customHeight="1">
      <c r="B934" s="12"/>
    </row>
    <row r="935" ht="15.75" customHeight="1">
      <c r="B935" s="12"/>
    </row>
    <row r="936" ht="15.75" customHeight="1">
      <c r="B936" s="12"/>
    </row>
    <row r="937" ht="15.75" customHeight="1">
      <c r="B937" s="12"/>
    </row>
    <row r="938" ht="15.75" customHeight="1">
      <c r="B938" s="12"/>
    </row>
    <row r="939" ht="15.75" customHeight="1">
      <c r="B939" s="12"/>
    </row>
    <row r="940" ht="15.75" customHeight="1">
      <c r="B940" s="12"/>
    </row>
    <row r="941" ht="15.75" customHeight="1">
      <c r="B941" s="12"/>
    </row>
    <row r="942" ht="15.75" customHeight="1">
      <c r="B942" s="12"/>
    </row>
    <row r="943" ht="15.75" customHeight="1">
      <c r="B943" s="12"/>
    </row>
    <row r="944" ht="15.75" customHeight="1">
      <c r="B944" s="12"/>
    </row>
    <row r="945" ht="15.75" customHeight="1">
      <c r="B945" s="12"/>
    </row>
    <row r="946" ht="15.75" customHeight="1">
      <c r="B946" s="12"/>
    </row>
    <row r="947" ht="15.75" customHeight="1">
      <c r="B947" s="12"/>
    </row>
    <row r="948" ht="15.75" customHeight="1">
      <c r="B948" s="12"/>
    </row>
    <row r="949" ht="15.75" customHeight="1">
      <c r="B949" s="12"/>
    </row>
    <row r="950" ht="15.75" customHeight="1">
      <c r="B950" s="12"/>
    </row>
    <row r="951" ht="15.75" customHeight="1">
      <c r="B951" s="12"/>
    </row>
    <row r="952" ht="15.75" customHeight="1">
      <c r="B952" s="12"/>
    </row>
    <row r="953" ht="15.75" customHeight="1">
      <c r="B953" s="12"/>
    </row>
    <row r="954" ht="15.75" customHeight="1">
      <c r="B954" s="12"/>
    </row>
    <row r="955" ht="15.75" customHeight="1">
      <c r="B955" s="12"/>
    </row>
    <row r="956" ht="15.75" customHeight="1">
      <c r="B956" s="12"/>
    </row>
    <row r="957" ht="15.75" customHeight="1">
      <c r="B957" s="12"/>
    </row>
    <row r="958" ht="15.75" customHeight="1">
      <c r="B958" s="12"/>
    </row>
    <row r="959" ht="15.75" customHeight="1">
      <c r="B959" s="12"/>
    </row>
    <row r="960" ht="15.75" customHeight="1">
      <c r="B960" s="12"/>
    </row>
    <row r="961" ht="15.75" customHeight="1">
      <c r="B961" s="12"/>
    </row>
    <row r="962" ht="15.75" customHeight="1">
      <c r="B962" s="12"/>
    </row>
    <row r="963" ht="15.75" customHeight="1">
      <c r="B963" s="12"/>
    </row>
    <row r="964" ht="15.75" customHeight="1">
      <c r="B964" s="12"/>
    </row>
    <row r="965" ht="15.75" customHeight="1">
      <c r="B965" s="12"/>
    </row>
    <row r="966" ht="15.75" customHeight="1">
      <c r="B966" s="12"/>
    </row>
    <row r="967" ht="15.75" customHeight="1">
      <c r="B967" s="12"/>
    </row>
    <row r="968" ht="15.75" customHeight="1">
      <c r="B968" s="12"/>
    </row>
    <row r="969" ht="15.75" customHeight="1">
      <c r="B969" s="12"/>
    </row>
    <row r="970" ht="15.75" customHeight="1">
      <c r="B970" s="12"/>
    </row>
    <row r="971" ht="15.75" customHeight="1">
      <c r="B971" s="12"/>
    </row>
    <row r="972" ht="15.75" customHeight="1">
      <c r="B972" s="12"/>
    </row>
    <row r="973" ht="15.75" customHeight="1">
      <c r="B973" s="12"/>
    </row>
    <row r="974" ht="15.75" customHeight="1">
      <c r="B974" s="12"/>
    </row>
    <row r="975" ht="15.75" customHeight="1">
      <c r="B975" s="12"/>
    </row>
    <row r="976" ht="15.75" customHeight="1">
      <c r="B976" s="12"/>
    </row>
    <row r="977" ht="15.75" customHeight="1">
      <c r="B977" s="12"/>
    </row>
    <row r="978" ht="15.75" customHeight="1">
      <c r="B978" s="12"/>
    </row>
    <row r="979" ht="15.75" customHeight="1">
      <c r="B979" s="12"/>
    </row>
    <row r="980" ht="15.75" customHeight="1">
      <c r="B980" s="12"/>
    </row>
    <row r="981" ht="15.75" customHeight="1">
      <c r="B981" s="12"/>
    </row>
    <row r="982" ht="15.75" customHeight="1">
      <c r="B982" s="12"/>
    </row>
    <row r="983" ht="15.75" customHeight="1">
      <c r="B983" s="12"/>
    </row>
    <row r="984" ht="15.75" customHeight="1">
      <c r="B984" s="12"/>
    </row>
    <row r="985" ht="15.75" customHeight="1">
      <c r="B985" s="12"/>
    </row>
    <row r="986" ht="15.75" customHeight="1">
      <c r="B986" s="12"/>
    </row>
    <row r="987" ht="15.75" customHeight="1">
      <c r="B987" s="12"/>
    </row>
    <row r="988" ht="15.75" customHeight="1">
      <c r="B988" s="12"/>
    </row>
    <row r="989" ht="15.75" customHeight="1">
      <c r="B989" s="12"/>
    </row>
    <row r="990" ht="15.75" customHeight="1">
      <c r="B990" s="12"/>
    </row>
    <row r="991" ht="15.75" customHeight="1">
      <c r="B991" s="12"/>
    </row>
    <row r="992" ht="15.75" customHeight="1">
      <c r="B992" s="12"/>
    </row>
    <row r="993" ht="15.75" customHeight="1">
      <c r="B993" s="12"/>
    </row>
    <row r="994" ht="15.75" customHeight="1">
      <c r="B994" s="12"/>
    </row>
    <row r="995" ht="15.75" customHeight="1">
      <c r="B995" s="12"/>
    </row>
    <row r="996" ht="15.75" customHeight="1">
      <c r="B996" s="12"/>
    </row>
    <row r="997" ht="15.75" customHeight="1">
      <c r="B997" s="12"/>
    </row>
    <row r="998" ht="15.75" customHeight="1">
      <c r="B998" s="12"/>
    </row>
    <row r="999" ht="15.75" customHeight="1">
      <c r="B999" s="12"/>
    </row>
  </sheetData>
  <mergeCells count="4">
    <mergeCell ref="B14:C14"/>
    <mergeCell ref="A23:A24"/>
    <mergeCell ref="B23:C24"/>
    <mergeCell ref="B26:C26"/>
  </mergeCells>
  <conditionalFormatting sqref="B3:B9">
    <cfRule type="colorScale" priority="1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conditionalFormatting sqref="B12">
    <cfRule type="colorScale" priority="2">
      <colorScale>
        <cfvo type="formula" val="1"/>
        <cfvo type="formula" val="5"/>
        <cfvo type="formula" val="10"/>
        <color rgb="FFFF0000"/>
        <color rgb="FFFFFF00"/>
        <color rgb="FF00FF00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2025-12-10T18:25:20Z</dcterms:created>
  <dc:creator>openpyxl</dc:creator>
</cp:coreProperties>
</file>